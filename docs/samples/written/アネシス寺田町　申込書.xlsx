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35f0bba0eb985b/デスクトップ/VEXUM/プラージュ様/-OCR-main/-OCR-main/docs/samples/written/"/>
    </mc:Choice>
  </mc:AlternateContent>
  <xr:revisionPtr revIDLastSave="9" documentId="13_ncr:1_{A63D28CD-9656-49D8-AA23-8B68E425E327}" xr6:coauthVersionLast="47" xr6:coauthVersionMax="47" xr10:uidLastSave="{4D4B481C-B26A-43ED-8714-A90B822D2188}"/>
  <bookViews>
    <workbookView minimized="1" xWindow="4890" yWindow="3310" windowWidth="14400" windowHeight="6860" xr2:uid="{D7B9D4FA-DB95-4859-9995-F738ACF57FA8}"/>
  </bookViews>
  <sheets>
    <sheet name="Sheet1" sheetId="1" r:id="rId1"/>
  </sheets>
  <definedNames>
    <definedName name="_xlnm.Print_Area" localSheetId="0">Sheet1!$A$1:$V$57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D15" i="1"/>
  <c r="K15" i="1"/>
  <c r="J15" i="1"/>
  <c r="H15" i="1"/>
  <c r="G15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5" i="1" l="1"/>
</calcChain>
</file>

<file path=xl/sharedStrings.xml><?xml version="1.0" encoding="utf-8"?>
<sst xmlns="http://schemas.openxmlformats.org/spreadsheetml/2006/main" count="89" uniqueCount="47">
  <si>
    <t>▼確認サイン▼</t>
  </si>
  <si>
    <t>施設側</t>
  </si>
  <si>
    <t>訪問側</t>
  </si>
  <si>
    <t>※「施術開始時間の希望」がございましたら、第一～第三希望までご記入ください。</t>
    <phoneticPr fontId="9"/>
  </si>
  <si>
    <t>※お申込みはご訪問日の5日前までとなります。</t>
    <rPh sb="2" eb="4">
      <t>モウシコ</t>
    </rPh>
    <rPh sb="7" eb="10">
      <t>ホウモンヒ</t>
    </rPh>
    <rPh sb="12" eb="13">
      <t>ニチ</t>
    </rPh>
    <rPh sb="13" eb="14">
      <t>マエ</t>
    </rPh>
    <phoneticPr fontId="9"/>
  </si>
  <si>
    <t>※カラー初回の方はパッチテストを実施し、異常なければ翌月から実施となります。（パッチテストに費用はかかりません）</t>
    <rPh sb="4" eb="6">
      <t>ショカイ</t>
    </rPh>
    <rPh sb="7" eb="8">
      <t>カタ</t>
    </rPh>
    <rPh sb="16" eb="18">
      <t>ジッシ</t>
    </rPh>
    <rPh sb="20" eb="22">
      <t>イジョウ</t>
    </rPh>
    <rPh sb="26" eb="28">
      <t>ヨクツキ</t>
    </rPh>
    <rPh sb="30" eb="32">
      <t>ジッシ</t>
    </rPh>
    <rPh sb="46" eb="48">
      <t>ヒヨウ</t>
    </rPh>
    <phoneticPr fontId="9"/>
  </si>
  <si>
    <t>※施術終了後にサインをいただき、施術実施月の月末までにデータにて事務局まで送付ください。（こちらをもとに御請求書を発行いたします）</t>
    <rPh sb="1" eb="3">
      <t>セジュツ</t>
    </rPh>
    <rPh sb="16" eb="18">
      <t>セジュツ</t>
    </rPh>
    <rPh sb="18" eb="20">
      <t>ジッシ</t>
    </rPh>
    <rPh sb="20" eb="21">
      <t>ツキ</t>
    </rPh>
    <rPh sb="32" eb="35">
      <t>ジムキョク</t>
    </rPh>
    <rPh sb="37" eb="39">
      <t>ソウフ</t>
    </rPh>
    <rPh sb="52" eb="56">
      <t>ゴセイキュウショ</t>
    </rPh>
    <rPh sb="57" eb="59">
      <t>ハッコウ</t>
    </rPh>
    <phoneticPr fontId="9"/>
  </si>
  <si>
    <t>事務局アドレス</t>
    <rPh sb="0" eb="3">
      <t>ジムキョク</t>
    </rPh>
    <phoneticPr fontId="9"/>
  </si>
  <si>
    <t>houmon@hannan-plage.jp</t>
    <phoneticPr fontId="9"/>
  </si>
  <si>
    <t>No.</t>
  </si>
  <si>
    <t>部屋番号</t>
  </si>
  <si>
    <t>氏名</t>
  </si>
  <si>
    <t>性別</t>
  </si>
  <si>
    <t>メニュー／料金</t>
  </si>
  <si>
    <t>合計料金</t>
  </si>
  <si>
    <t>施術開始時間の希望</t>
  </si>
  <si>
    <t>ご案内
有無</t>
  </si>
  <si>
    <t>施術実施
有無</t>
    <rPh sb="2" eb="4">
      <t>ジッシ</t>
    </rPh>
    <rPh sb="5" eb="7">
      <t>ウム</t>
    </rPh>
    <phoneticPr fontId="9"/>
  </si>
  <si>
    <t>備考</t>
  </si>
  <si>
    <t>カット</t>
  </si>
  <si>
    <t>カラー 
(白髪染め)</t>
    <phoneticPr fontId="9"/>
  </si>
  <si>
    <t>パーマ</t>
  </si>
  <si>
    <t>顔そり</t>
  </si>
  <si>
    <t>パッチテスト</t>
  </si>
  <si>
    <t>　※30分単位
　※9:00開始～16:00終了まで</t>
    <phoneticPr fontId="9"/>
  </si>
  <si>
    <t>第一希望</t>
  </si>
  <si>
    <t>第二希望</t>
  </si>
  <si>
    <t>第三希望</t>
  </si>
  <si>
    <t>合計人数</t>
    <rPh sb="0" eb="4">
      <t>ゴウケイニンズウ</t>
    </rPh>
    <phoneticPr fontId="9"/>
  </si>
  <si>
    <t>人</t>
    <rPh sb="0" eb="1">
      <t>ニン</t>
    </rPh>
    <phoneticPr fontId="9"/>
  </si>
  <si>
    <t>記入例</t>
  </si>
  <si>
    <t>001</t>
  </si>
  <si>
    <t>山田　太郎</t>
  </si>
  <si>
    <t>男・女</t>
  </si>
  <si>
    <t>〇</t>
    <phoneticPr fontId="9"/>
  </si>
  <si>
    <t>〇</t>
  </si>
  <si>
    <t>9：00</t>
  </si>
  <si>
    <t>10：30</t>
  </si>
  <si>
    <t>11：00</t>
  </si>
  <si>
    <t>✓</t>
    <phoneticPr fontId="9"/>
  </si>
  <si>
    <t>令和　　 年　　  月　　 日</t>
    <phoneticPr fontId="9"/>
  </si>
  <si>
    <t>【訪問理美容サービス　申込書】</t>
    <phoneticPr fontId="3"/>
  </si>
  <si>
    <t>下記の項目をご記入のうえ、お申し込みください。</t>
    <phoneticPr fontId="3"/>
  </si>
  <si>
    <t>※ご希望の施術内容に〇印をつけてください。</t>
    <phoneticPr fontId="3"/>
  </si>
  <si>
    <t>※顔そりのみのご注文を承っておりません。</t>
    <phoneticPr fontId="3"/>
  </si>
  <si>
    <t>施設名：</t>
    <phoneticPr fontId="3"/>
  </si>
  <si>
    <t>施術日：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</si>
</sst>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[$¥-411]#,##0"/>
    <numFmt numFmtId="177" formatCode="&quot;¥&quot;#,##0_);[Red]\(&quot;¥&quot;#,##0\)"/>
  </numFmts>
  <fonts count="25" x14ac:knownFonts="1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4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23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theme="1"/>
      <name val="Meiryo UI"/>
      <family val="3"/>
      <charset val="128"/>
    </font>
    <font>
      <sz val="13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4"/>
      <color theme="10"/>
      <name val="游ゴシック"/>
      <family val="2"/>
      <scheme val="minor"/>
    </font>
    <font>
      <sz val="12"/>
      <color theme="1" tint="0.499984740745262"/>
      <name val="Meiryo UI"/>
      <family val="3"/>
      <charset val="128"/>
    </font>
    <font>
      <sz val="12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2"/>
      <color rgb="FF666666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游ゴシック"/>
      <family val="2"/>
      <scheme val="minor"/>
    </font>
    <font>
      <sz val="12"/>
      <name val="Meiryo UI"/>
      <family val="3"/>
      <charset val="128"/>
    </font>
    <font>
      <b/>
      <sz val="12"/>
      <color rgb="FF00B050"/>
      <name val="Meiryo UI"/>
      <family val="3"/>
      <charset val="128"/>
    </font>
    <font>
      <b/>
      <sz val="12"/>
      <color rgb="FF0070C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 applyAlignment="1"/>
    <xf numFmtId="0" fontId="5" fillId="0" borderId="0" xfId="0" applyFont="1" applyAlignment="1"/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>
      <alignment vertical="center"/>
    </xf>
    <xf numFmtId="0" fontId="7" fillId="0" borderId="0" xfId="0" applyFont="1" applyAlignment="1">
      <alignment horizontal="right" vertical="center"/>
    </xf>
    <xf numFmtId="0" fontId="10" fillId="0" borderId="0" xfId="1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/>
    </xf>
    <xf numFmtId="176" fontId="17" fillId="3" borderId="23" xfId="0" applyNumberFormat="1" applyFont="1" applyFill="1" applyBorder="1" applyAlignment="1">
      <alignment horizontal="center" vertical="center"/>
    </xf>
    <xf numFmtId="176" fontId="17" fillId="3" borderId="24" xfId="0" applyNumberFormat="1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right" vertical="center"/>
    </xf>
    <xf numFmtId="0" fontId="12" fillId="3" borderId="3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2" fillId="3" borderId="34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49" fontId="19" fillId="0" borderId="18" xfId="0" applyNumberFormat="1" applyFont="1" applyBorder="1" applyAlignment="1">
      <alignment horizont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/>
    </xf>
    <xf numFmtId="0" fontId="19" fillId="0" borderId="41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176" fontId="19" fillId="0" borderId="42" xfId="0" applyNumberFormat="1" applyFont="1" applyBorder="1" applyAlignment="1">
      <alignment horizontal="center"/>
    </xf>
    <xf numFmtId="0" fontId="19" fillId="0" borderId="40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12" fillId="0" borderId="36" xfId="0" applyFont="1" applyBorder="1">
      <alignment vertical="center"/>
    </xf>
    <xf numFmtId="0" fontId="12" fillId="0" borderId="18" xfId="0" applyFont="1" applyBorder="1">
      <alignment vertical="center"/>
    </xf>
    <xf numFmtId="0" fontId="12" fillId="0" borderId="39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21" fillId="0" borderId="39" xfId="0" applyFont="1" applyBorder="1" applyAlignment="1">
      <alignment horizontal="center" vertical="center"/>
    </xf>
    <xf numFmtId="177" fontId="12" fillId="0" borderId="42" xfId="0" applyNumberFormat="1" applyFont="1" applyBorder="1">
      <alignment vertical="center"/>
    </xf>
    <xf numFmtId="0" fontId="12" fillId="0" borderId="40" xfId="0" applyFont="1" applyBorder="1">
      <alignment vertical="center"/>
    </xf>
    <xf numFmtId="0" fontId="12" fillId="0" borderId="41" xfId="0" applyFont="1" applyBorder="1">
      <alignment vertical="center"/>
    </xf>
    <xf numFmtId="0" fontId="12" fillId="0" borderId="39" xfId="0" applyFont="1" applyBorder="1">
      <alignment vertical="center"/>
    </xf>
    <xf numFmtId="0" fontId="12" fillId="0" borderId="43" xfId="0" applyFont="1" applyBorder="1">
      <alignment vertical="center"/>
    </xf>
    <xf numFmtId="0" fontId="12" fillId="0" borderId="44" xfId="0" applyFont="1" applyBorder="1">
      <alignment vertical="center"/>
    </xf>
    <xf numFmtId="0" fontId="12" fillId="0" borderId="42" xfId="0" applyFont="1" applyBorder="1">
      <alignment vertical="center"/>
    </xf>
    <xf numFmtId="0" fontId="12" fillId="0" borderId="45" xfId="0" applyFont="1" applyBorder="1">
      <alignment vertical="center"/>
    </xf>
    <xf numFmtId="0" fontId="12" fillId="0" borderId="46" xfId="0" applyFont="1" applyBorder="1">
      <alignment vertical="center"/>
    </xf>
    <xf numFmtId="0" fontId="23" fillId="5" borderId="32" xfId="0" applyFont="1" applyFill="1" applyBorder="1" applyAlignment="1">
      <alignment horizontal="center" vertical="center"/>
    </xf>
    <xf numFmtId="6" fontId="23" fillId="5" borderId="4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3" fillId="0" borderId="19" xfId="0" applyFont="1" applyBorder="1" applyAlignment="1"/>
    <xf numFmtId="0" fontId="12" fillId="3" borderId="12" xfId="0" applyFont="1" applyFill="1" applyBorder="1" applyAlignment="1">
      <alignment horizontal="center" vertical="center"/>
    </xf>
    <xf numFmtId="0" fontId="13" fillId="0" borderId="20" xfId="0" applyFont="1" applyBorder="1" applyAlignment="1"/>
    <xf numFmtId="0" fontId="12" fillId="3" borderId="13" xfId="0" applyFont="1" applyFill="1" applyBorder="1" applyAlignment="1">
      <alignment horizontal="center" vertical="center"/>
    </xf>
    <xf numFmtId="0" fontId="13" fillId="0" borderId="14" xfId="0" applyFont="1" applyBorder="1" applyAlignment="1"/>
    <xf numFmtId="0" fontId="5" fillId="0" borderId="0" xfId="0" applyFont="1" applyAlignment="1"/>
    <xf numFmtId="0" fontId="13" fillId="0" borderId="21" xfId="0" applyFont="1" applyBorder="1" applyAlignment="1"/>
    <xf numFmtId="0" fontId="12" fillId="3" borderId="15" xfId="0" applyFont="1" applyFill="1" applyBorder="1" applyAlignment="1">
      <alignment horizontal="center" vertical="center"/>
    </xf>
    <xf numFmtId="0" fontId="13" fillId="0" borderId="22" xfId="0" applyFont="1" applyBorder="1" applyAlignment="1"/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3" fillId="0" borderId="25" xfId="0" applyFont="1" applyBorder="1" applyAlignment="1"/>
    <xf numFmtId="0" fontId="13" fillId="0" borderId="13" xfId="0" applyFont="1" applyBorder="1" applyAlignment="1"/>
    <xf numFmtId="0" fontId="13" fillId="0" borderId="17" xfId="0" applyFont="1" applyBorder="1" applyAlignment="1"/>
    <xf numFmtId="0" fontId="12" fillId="3" borderId="1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7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left" vertical="center" wrapText="1"/>
    </xf>
    <xf numFmtId="0" fontId="15" fillId="0" borderId="0" xfId="0" applyFont="1" applyAlignment="1"/>
    <xf numFmtId="0" fontId="16" fillId="0" borderId="26" xfId="0" applyFont="1" applyBorder="1" applyAlignment="1"/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13" fillId="0" borderId="38" xfId="0" applyFont="1" applyBorder="1">
      <alignment vertical="center"/>
    </xf>
    <xf numFmtId="0" fontId="12" fillId="0" borderId="18" xfId="0" applyFont="1" applyBorder="1" applyAlignment="1">
      <alignment horizontal="center" vertical="center"/>
    </xf>
    <xf numFmtId="0" fontId="18" fillId="4" borderId="28" xfId="0" applyFont="1" applyFill="1" applyBorder="1" applyAlignment="1">
      <alignment horizontal="center" vertical="center"/>
    </xf>
    <xf numFmtId="0" fontId="18" fillId="4" borderId="29" xfId="0" applyFont="1" applyFill="1" applyBorder="1" applyAlignment="1">
      <alignment horizontal="center" vertical="center"/>
    </xf>
    <xf numFmtId="0" fontId="24" fillId="4" borderId="30" xfId="0" applyFont="1" applyFill="1" applyBorder="1" applyAlignment="1">
      <alignment horizontal="center" vertical="center"/>
    </xf>
    <xf numFmtId="0" fontId="24" fillId="4" borderId="31" xfId="0" applyFont="1" applyFill="1" applyBorder="1" applyAlignment="1">
      <alignment horizontal="center" vertical="center"/>
    </xf>
    <xf numFmtId="0" fontId="12" fillId="3" borderId="35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9" fillId="0" borderId="37" xfId="0" applyFont="1" applyBorder="1" applyAlignment="1">
      <alignment horizontal="center"/>
    </xf>
    <xf numFmtId="0" fontId="13" fillId="0" borderId="38" xfId="0" applyFont="1" applyBorder="1" applyAlignment="1"/>
    <xf numFmtId="0" fontId="12" fillId="0" borderId="45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/>
    </xf>
    <xf numFmtId="0" fontId="1" fillId="0" borderId="0" xfId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116682</xdr:colOff>
      <xdr:row>14</xdr:row>
      <xdr:rowOff>180975</xdr:rowOff>
    </xdr:from>
    <xdr:ext cx="247650" cy="2476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DCF4B61B-0B12-4752-A183-46A4A20EAEDB}"/>
            </a:ext>
          </a:extLst>
        </xdr:cNvPr>
        <xdr:cNvSpPr/>
      </xdr:nvSpPr>
      <xdr:spPr>
        <a:xfrm>
          <a:off x="3469482" y="3733800"/>
          <a:ext cx="247650" cy="247650"/>
        </a:xfrm>
        <a:prstGeom prst="ellipse">
          <a:avLst/>
        </a:prstGeom>
        <a:noFill/>
        <a:ln w="28575" cap="flat" cmpd="sng">
          <a:solidFill>
            <a:srgbClr val="66666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houmon@hannan-plage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FB0EF-184C-4661-8307-E8C2A1E0589B}">
  <sheetPr>
    <pageSetUpPr fitToPage="1"/>
  </sheetPr>
  <dimension ref="A1:V57"/>
  <sheetViews>
    <sheetView tabSelected="1" topLeftCell="A7" zoomScale="85" zoomScaleNormal="85" workbookViewId="0">
      <selection activeCell="L17" sqref="L17"/>
    </sheetView>
  </sheetViews>
  <sheetFormatPr defaultColWidth="11" defaultRowHeight="15.75" customHeight="1" x14ac:dyDescent="0.3"/>
  <cols>
    <col min="1" max="1" width="3.4140625" style="4" customWidth="1"/>
    <col min="2" max="2" width="7.58203125" style="4" customWidth="1"/>
    <col min="3" max="5" width="11" style="4"/>
    <col min="6" max="6" width="8.9140625" style="4" customWidth="1"/>
    <col min="7" max="11" width="10" style="4" customWidth="1"/>
    <col min="12" max="12" width="11" style="4"/>
    <col min="13" max="15" width="8.9140625" style="4" customWidth="1"/>
    <col min="16" max="16" width="10.4140625" style="4" customWidth="1"/>
    <col min="17" max="17" width="11" style="4"/>
    <col min="18" max="18" width="12.4140625" style="4" customWidth="1"/>
    <col min="19" max="19" width="12.5" style="4" customWidth="1"/>
    <col min="20" max="16384" width="11" style="4"/>
  </cols>
  <sheetData>
    <row r="1" spans="1:22" ht="31.5" x14ac:dyDescent="0.45">
      <c r="A1" s="1"/>
      <c r="B1" s="2" t="s">
        <v>41</v>
      </c>
      <c r="C1" s="3"/>
      <c r="D1" s="1"/>
      <c r="E1" s="1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2" ht="13.5" x14ac:dyDescent="0.3">
      <c r="A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spans="1:22" ht="20" thickBot="1" x14ac:dyDescent="0.5">
      <c r="A3" s="6"/>
      <c r="B3" s="6" t="s">
        <v>42</v>
      </c>
      <c r="C3" s="6"/>
      <c r="D3" s="6"/>
      <c r="E3" s="6"/>
      <c r="F3" s="6"/>
      <c r="G3" s="6"/>
      <c r="I3" s="7" t="s">
        <v>45</v>
      </c>
      <c r="J3" s="7"/>
      <c r="K3" s="7"/>
      <c r="L3" s="7"/>
      <c r="N3" s="7" t="s">
        <v>46</v>
      </c>
      <c r="O3" s="80" t="s">
        <v>40</v>
      </c>
      <c r="P3" s="80"/>
      <c r="Q3" s="80"/>
      <c r="R3" s="81" t="s">
        <v>0</v>
      </c>
      <c r="S3" s="81"/>
    </row>
    <row r="4" spans="1:22" ht="23" thickBot="1" x14ac:dyDescent="0.35">
      <c r="A4" s="5"/>
      <c r="B4" s="6" t="s">
        <v>43</v>
      </c>
      <c r="C4" s="6"/>
      <c r="D4" s="6"/>
      <c r="E4" s="6"/>
      <c r="F4" s="6"/>
      <c r="G4" s="6"/>
      <c r="I4" s="8"/>
      <c r="J4" s="9"/>
      <c r="K4" s="9"/>
      <c r="L4" s="6"/>
      <c r="M4" s="5"/>
      <c r="N4" s="5"/>
      <c r="O4" s="5"/>
      <c r="P4" s="5"/>
      <c r="Q4" s="5"/>
      <c r="R4" s="10" t="s">
        <v>1</v>
      </c>
      <c r="S4" s="11" t="s">
        <v>2</v>
      </c>
    </row>
    <row r="5" spans="1:22" ht="18" x14ac:dyDescent="0.3">
      <c r="A5" s="5"/>
      <c r="B5" s="6" t="s">
        <v>3</v>
      </c>
      <c r="C5" s="6"/>
      <c r="D5" s="6"/>
      <c r="E5" s="6"/>
      <c r="F5" s="6"/>
      <c r="G5" s="6"/>
      <c r="I5" s="6"/>
      <c r="J5" s="6"/>
      <c r="K5" s="6"/>
      <c r="L5" s="6"/>
      <c r="M5" s="5"/>
      <c r="N5" s="5"/>
      <c r="O5" s="5"/>
      <c r="P5" s="5"/>
      <c r="Q5" s="5"/>
      <c r="R5" s="82"/>
      <c r="S5" s="85"/>
    </row>
    <row r="6" spans="1:22" ht="18" x14ac:dyDescent="0.3">
      <c r="A6" s="5"/>
      <c r="B6" s="6" t="s">
        <v>4</v>
      </c>
      <c r="C6" s="6"/>
      <c r="D6" s="6"/>
      <c r="E6" s="6"/>
      <c r="F6" s="6"/>
      <c r="G6" s="6"/>
      <c r="M6" s="5"/>
      <c r="N6" s="5"/>
      <c r="O6" s="5"/>
      <c r="P6" s="5"/>
      <c r="Q6" s="5"/>
      <c r="R6" s="83"/>
      <c r="S6" s="86"/>
    </row>
    <row r="7" spans="1:22" ht="18" x14ac:dyDescent="0.3">
      <c r="A7" s="5"/>
      <c r="B7" s="6" t="s">
        <v>44</v>
      </c>
      <c r="C7" s="6"/>
      <c r="D7" s="6"/>
      <c r="E7" s="6"/>
      <c r="F7" s="6"/>
      <c r="H7" s="6"/>
      <c r="I7" s="6"/>
      <c r="J7" s="6"/>
      <c r="K7" s="6"/>
      <c r="L7" s="6"/>
      <c r="M7" s="6"/>
      <c r="N7" s="5"/>
      <c r="O7" s="5"/>
      <c r="P7" s="5"/>
      <c r="Q7" s="5"/>
      <c r="R7" s="83"/>
      <c r="S7" s="86"/>
      <c r="T7" s="12"/>
      <c r="U7" s="12"/>
      <c r="V7" s="5"/>
    </row>
    <row r="8" spans="1:22" ht="18.5" thickBot="1" x14ac:dyDescent="0.35">
      <c r="A8" s="5"/>
      <c r="B8" s="6" t="s">
        <v>5</v>
      </c>
      <c r="C8" s="6"/>
      <c r="D8" s="6"/>
      <c r="E8" s="6"/>
      <c r="F8" s="6"/>
      <c r="H8" s="6"/>
      <c r="I8" s="6"/>
      <c r="J8" s="6"/>
      <c r="K8" s="6"/>
      <c r="L8" s="6"/>
      <c r="M8" s="6"/>
      <c r="N8" s="5"/>
      <c r="O8" s="5"/>
      <c r="P8" s="5"/>
      <c r="Q8" s="5"/>
      <c r="R8" s="84"/>
      <c r="S8" s="87"/>
      <c r="T8" s="12"/>
      <c r="U8" s="12"/>
      <c r="V8" s="5"/>
    </row>
    <row r="9" spans="1:22" ht="18" x14ac:dyDescent="0.3">
      <c r="A9" s="5"/>
      <c r="B9" s="6" t="s">
        <v>6</v>
      </c>
      <c r="C9" s="6"/>
      <c r="D9" s="6"/>
      <c r="E9" s="6"/>
      <c r="F9" s="6"/>
      <c r="H9" s="6"/>
      <c r="I9" s="6"/>
      <c r="J9" s="6"/>
      <c r="K9" s="6"/>
      <c r="L9" s="6"/>
      <c r="M9" s="6"/>
      <c r="N9" s="5"/>
      <c r="O9" s="5"/>
      <c r="P9" s="5"/>
      <c r="Q9" s="5"/>
      <c r="R9" s="5"/>
      <c r="S9" s="5"/>
      <c r="T9" s="12"/>
      <c r="U9" s="12"/>
      <c r="V9" s="5"/>
    </row>
    <row r="10" spans="1:22" ht="18" x14ac:dyDescent="0.3">
      <c r="A10" s="5"/>
      <c r="B10" s="57" t="s">
        <v>7</v>
      </c>
      <c r="C10" s="57"/>
      <c r="D10" s="101" t="s">
        <v>8</v>
      </c>
      <c r="E10" s="6"/>
      <c r="F10" s="6"/>
      <c r="N10" s="5"/>
      <c r="O10" s="5"/>
      <c r="P10" s="5"/>
      <c r="Q10" s="5"/>
      <c r="R10" s="5"/>
      <c r="S10" s="5"/>
      <c r="T10" s="12"/>
      <c r="U10" s="12"/>
      <c r="V10" s="5"/>
    </row>
    <row r="11" spans="1:22" ht="13.5" x14ac:dyDescent="0.3">
      <c r="A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</row>
    <row r="12" spans="1:22" ht="16" x14ac:dyDescent="0.3">
      <c r="A12" s="13"/>
      <c r="B12" s="58" t="s">
        <v>9</v>
      </c>
      <c r="C12" s="60" t="s">
        <v>10</v>
      </c>
      <c r="D12" s="62" t="s">
        <v>11</v>
      </c>
      <c r="E12" s="63"/>
      <c r="F12" s="66" t="s">
        <v>12</v>
      </c>
      <c r="G12" s="58" t="s">
        <v>13</v>
      </c>
      <c r="H12" s="62"/>
      <c r="I12" s="62"/>
      <c r="J12" s="62"/>
      <c r="K12" s="68"/>
      <c r="L12" s="69" t="s">
        <v>14</v>
      </c>
      <c r="M12" s="58" t="s">
        <v>15</v>
      </c>
      <c r="N12" s="71"/>
      <c r="O12" s="72"/>
      <c r="P12" s="73" t="s">
        <v>16</v>
      </c>
      <c r="Q12" s="74" t="s">
        <v>17</v>
      </c>
      <c r="R12" s="75" t="s">
        <v>18</v>
      </c>
      <c r="S12" s="75"/>
      <c r="T12" s="75"/>
      <c r="U12" s="75"/>
    </row>
    <row r="13" spans="1:22" ht="30" x14ac:dyDescent="0.35">
      <c r="A13" s="13"/>
      <c r="B13" s="59"/>
      <c r="C13" s="61"/>
      <c r="D13" s="64"/>
      <c r="E13" s="65"/>
      <c r="F13" s="67"/>
      <c r="G13" s="14" t="s">
        <v>19</v>
      </c>
      <c r="H13" s="15" t="s">
        <v>20</v>
      </c>
      <c r="I13" s="16" t="s">
        <v>21</v>
      </c>
      <c r="J13" s="16" t="s">
        <v>22</v>
      </c>
      <c r="K13" s="16" t="s">
        <v>23</v>
      </c>
      <c r="L13" s="70"/>
      <c r="M13" s="77" t="s">
        <v>24</v>
      </c>
      <c r="N13" s="78"/>
      <c r="O13" s="79"/>
      <c r="P13" s="61"/>
      <c r="Q13" s="59"/>
      <c r="R13" s="75"/>
      <c r="S13" s="75"/>
      <c r="T13" s="75"/>
      <c r="U13" s="75"/>
    </row>
    <row r="14" spans="1:22" ht="16.5" thickBot="1" x14ac:dyDescent="0.35">
      <c r="A14" s="13"/>
      <c r="B14" s="59"/>
      <c r="C14" s="61"/>
      <c r="D14" s="64"/>
      <c r="E14" s="65"/>
      <c r="F14" s="67"/>
      <c r="G14" s="17">
        <v>1800</v>
      </c>
      <c r="H14" s="18">
        <v>3800</v>
      </c>
      <c r="I14" s="18">
        <v>3800</v>
      </c>
      <c r="J14" s="18">
        <v>500</v>
      </c>
      <c r="K14" s="18">
        <v>0</v>
      </c>
      <c r="L14" s="70"/>
      <c r="M14" s="19" t="s">
        <v>25</v>
      </c>
      <c r="N14" s="20" t="s">
        <v>26</v>
      </c>
      <c r="O14" s="21" t="s">
        <v>27</v>
      </c>
      <c r="P14" s="61"/>
      <c r="Q14" s="59"/>
      <c r="R14" s="76"/>
      <c r="S14" s="76"/>
      <c r="T14" s="76"/>
      <c r="U14" s="76"/>
    </row>
    <row r="15" spans="1:22" s="27" customFormat="1" ht="16.5" thickBot="1" x14ac:dyDescent="0.6">
      <c r="A15" s="13"/>
      <c r="B15" s="91" t="s">
        <v>28</v>
      </c>
      <c r="C15" s="92"/>
      <c r="D15" s="93">
        <f>COUNTA(D17:E57)</f>
        <v>0</v>
      </c>
      <c r="E15" s="94"/>
      <c r="F15" s="22" t="s">
        <v>29</v>
      </c>
      <c r="G15" s="55">
        <f>COUNTIF(G17:G57,"〇")</f>
        <v>0</v>
      </c>
      <c r="H15" s="55">
        <f t="shared" ref="H15:K15" si="0">COUNTIF(H17:H57,"〇")</f>
        <v>0</v>
      </c>
      <c r="I15" s="55">
        <f t="shared" si="0"/>
        <v>0</v>
      </c>
      <c r="J15" s="55">
        <f t="shared" si="0"/>
        <v>0</v>
      </c>
      <c r="K15" s="55">
        <f t="shared" si="0"/>
        <v>0</v>
      </c>
      <c r="L15" s="56">
        <f>SUM(L17:L57)</f>
        <v>0</v>
      </c>
      <c r="M15" s="23"/>
      <c r="N15" s="24"/>
      <c r="O15" s="25"/>
      <c r="P15" s="26"/>
      <c r="Q15" s="26"/>
      <c r="R15" s="95"/>
      <c r="S15" s="96"/>
      <c r="T15" s="96"/>
      <c r="U15" s="96"/>
    </row>
    <row r="16" spans="1:22" ht="17.5" x14ac:dyDescent="0.35">
      <c r="A16" s="28"/>
      <c r="B16" s="29" t="s">
        <v>30</v>
      </c>
      <c r="C16" s="30" t="s">
        <v>31</v>
      </c>
      <c r="D16" s="97" t="s">
        <v>32</v>
      </c>
      <c r="E16" s="98"/>
      <c r="F16" s="31" t="s">
        <v>33</v>
      </c>
      <c r="G16" s="32" t="s">
        <v>34</v>
      </c>
      <c r="H16" s="33"/>
      <c r="I16" s="33"/>
      <c r="J16" s="33" t="s">
        <v>35</v>
      </c>
      <c r="K16" s="34"/>
      <c r="L16" s="35">
        <v>2300</v>
      </c>
      <c r="M16" s="36" t="s">
        <v>36</v>
      </c>
      <c r="N16" s="37" t="s">
        <v>37</v>
      </c>
      <c r="O16" s="31" t="s">
        <v>38</v>
      </c>
      <c r="P16" s="38" t="s">
        <v>39</v>
      </c>
      <c r="Q16" s="39" t="s">
        <v>39</v>
      </c>
      <c r="R16" s="99"/>
      <c r="S16" s="99"/>
      <c r="T16" s="99"/>
      <c r="U16" s="99"/>
    </row>
    <row r="17" spans="1:21" ht="37.5" customHeight="1" x14ac:dyDescent="0.3">
      <c r="A17" s="5"/>
      <c r="B17" s="40">
        <v>1</v>
      </c>
      <c r="C17" s="41"/>
      <c r="D17" s="88"/>
      <c r="E17" s="89"/>
      <c r="F17" s="42" t="s">
        <v>33</v>
      </c>
      <c r="G17" s="43"/>
      <c r="H17" s="44"/>
      <c r="I17" s="44"/>
      <c r="J17" s="44"/>
      <c r="K17" s="45"/>
      <c r="L17" s="46">
        <f>SUMIFS($G$14:$J$14,G17:J17,"〇")</f>
        <v>0</v>
      </c>
      <c r="M17" s="47"/>
      <c r="N17" s="48"/>
      <c r="O17" s="49"/>
      <c r="P17" s="50"/>
      <c r="Q17" s="51"/>
      <c r="R17" s="90"/>
      <c r="S17" s="90"/>
      <c r="T17" s="90"/>
      <c r="U17" s="90"/>
    </row>
    <row r="18" spans="1:21" ht="32.25" customHeight="1" x14ac:dyDescent="0.3">
      <c r="A18" s="5"/>
      <c r="B18" s="40">
        <v>2</v>
      </c>
      <c r="C18" s="41"/>
      <c r="D18" s="88"/>
      <c r="E18" s="89"/>
      <c r="F18" s="42" t="s">
        <v>33</v>
      </c>
      <c r="G18" s="43"/>
      <c r="H18" s="44"/>
      <c r="I18" s="44"/>
      <c r="J18" s="44"/>
      <c r="K18" s="45"/>
      <c r="L18" s="46">
        <f>SUMIFS($G$14:$J$14,G18:J18,"〇")</f>
        <v>0</v>
      </c>
      <c r="M18" s="47"/>
      <c r="N18" s="48"/>
      <c r="O18" s="49"/>
      <c r="P18" s="50"/>
      <c r="Q18" s="51"/>
      <c r="R18" s="90"/>
      <c r="S18" s="90"/>
      <c r="T18" s="90"/>
      <c r="U18" s="90"/>
    </row>
    <row r="19" spans="1:21" ht="32.25" customHeight="1" x14ac:dyDescent="0.3">
      <c r="A19" s="5"/>
      <c r="B19" s="40">
        <v>3</v>
      </c>
      <c r="C19" s="41"/>
      <c r="D19" s="88"/>
      <c r="E19" s="89"/>
      <c r="F19" s="42" t="s">
        <v>33</v>
      </c>
      <c r="G19" s="43"/>
      <c r="H19" s="44"/>
      <c r="I19" s="44"/>
      <c r="J19" s="44"/>
      <c r="K19" s="45"/>
      <c r="L19" s="46">
        <f>SUMIFS($G$14:$J$14,G19:J19,"〇")</f>
        <v>0</v>
      </c>
      <c r="M19" s="47"/>
      <c r="N19" s="48"/>
      <c r="O19" s="52"/>
      <c r="P19" s="53"/>
      <c r="Q19" s="54"/>
      <c r="R19" s="90"/>
      <c r="S19" s="90"/>
      <c r="T19" s="90"/>
      <c r="U19" s="90"/>
    </row>
    <row r="20" spans="1:21" ht="32.25" customHeight="1" x14ac:dyDescent="0.3">
      <c r="A20" s="5"/>
      <c r="B20" s="40">
        <v>4</v>
      </c>
      <c r="C20" s="41"/>
      <c r="D20" s="88"/>
      <c r="E20" s="89"/>
      <c r="F20" s="42" t="s">
        <v>33</v>
      </c>
      <c r="G20" s="43"/>
      <c r="H20" s="44"/>
      <c r="I20" s="44"/>
      <c r="J20" s="44"/>
      <c r="K20" s="45"/>
      <c r="L20" s="46">
        <f>SUMIFS($G$14:$J$14,G20:J20,"〇")</f>
        <v>0</v>
      </c>
      <c r="M20" s="47"/>
      <c r="N20" s="48"/>
      <c r="O20" s="52"/>
      <c r="P20" s="41"/>
      <c r="Q20" s="40"/>
      <c r="R20" s="90"/>
      <c r="S20" s="90"/>
      <c r="T20" s="90"/>
      <c r="U20" s="90"/>
    </row>
    <row r="21" spans="1:21" ht="32.25" customHeight="1" x14ac:dyDescent="0.3">
      <c r="A21" s="5"/>
      <c r="B21" s="40">
        <v>5</v>
      </c>
      <c r="C21" s="41"/>
      <c r="D21" s="88"/>
      <c r="E21" s="89"/>
      <c r="F21" s="42" t="s">
        <v>33</v>
      </c>
      <c r="G21" s="43"/>
      <c r="H21" s="44"/>
      <c r="I21" s="44"/>
      <c r="J21" s="44"/>
      <c r="K21" s="45"/>
      <c r="L21" s="46">
        <f>SUMIFS($G$14:$J$14,G21:J21,"〇")</f>
        <v>0</v>
      </c>
      <c r="M21" s="47"/>
      <c r="N21" s="48"/>
      <c r="O21" s="52"/>
      <c r="P21" s="41"/>
      <c r="Q21" s="40"/>
      <c r="R21" s="90"/>
      <c r="S21" s="90"/>
      <c r="T21" s="90"/>
      <c r="U21" s="90"/>
    </row>
    <row r="22" spans="1:21" ht="32.25" customHeight="1" x14ac:dyDescent="0.3">
      <c r="A22" s="5"/>
      <c r="B22" s="40">
        <v>6</v>
      </c>
      <c r="C22" s="41"/>
      <c r="D22" s="88"/>
      <c r="E22" s="89"/>
      <c r="F22" s="42" t="s">
        <v>33</v>
      </c>
      <c r="G22" s="43"/>
      <c r="H22" s="44"/>
      <c r="I22" s="44"/>
      <c r="J22" s="44"/>
      <c r="K22" s="45"/>
      <c r="L22" s="46">
        <f>SUMIFS($G$14:$J$14,G22:J22,"〇")</f>
        <v>0</v>
      </c>
      <c r="M22" s="47"/>
      <c r="N22" s="48"/>
      <c r="O22" s="52"/>
      <c r="P22" s="41"/>
      <c r="Q22" s="40"/>
      <c r="R22" s="90"/>
      <c r="S22" s="90"/>
      <c r="T22" s="90"/>
      <c r="U22" s="90"/>
    </row>
    <row r="23" spans="1:21" ht="32.25" customHeight="1" x14ac:dyDescent="0.3">
      <c r="A23" s="5"/>
      <c r="B23" s="40">
        <v>7</v>
      </c>
      <c r="C23" s="41"/>
      <c r="D23" s="88"/>
      <c r="E23" s="89"/>
      <c r="F23" s="42" t="s">
        <v>33</v>
      </c>
      <c r="G23" s="43"/>
      <c r="H23" s="44"/>
      <c r="I23" s="44"/>
      <c r="J23" s="44"/>
      <c r="K23" s="45"/>
      <c r="L23" s="46">
        <f>SUMIFS($G$14:$J$14,G23:J23,"〇")</f>
        <v>0</v>
      </c>
      <c r="M23" s="47"/>
      <c r="N23" s="48"/>
      <c r="O23" s="52"/>
      <c r="P23" s="41"/>
      <c r="Q23" s="40"/>
      <c r="R23" s="90"/>
      <c r="S23" s="90"/>
      <c r="T23" s="90"/>
      <c r="U23" s="90"/>
    </row>
    <row r="24" spans="1:21" ht="32.25" customHeight="1" x14ac:dyDescent="0.3">
      <c r="A24" s="5"/>
      <c r="B24" s="40">
        <v>8</v>
      </c>
      <c r="C24" s="41"/>
      <c r="D24" s="88"/>
      <c r="E24" s="89"/>
      <c r="F24" s="42" t="s">
        <v>33</v>
      </c>
      <c r="G24" s="43"/>
      <c r="H24" s="44"/>
      <c r="I24" s="44"/>
      <c r="J24" s="44"/>
      <c r="K24" s="45"/>
      <c r="L24" s="46">
        <f>SUMIFS($G$14:$J$14,G24:J24,"〇")</f>
        <v>0</v>
      </c>
      <c r="M24" s="47"/>
      <c r="N24" s="48"/>
      <c r="O24" s="52"/>
      <c r="P24" s="41"/>
      <c r="Q24" s="40"/>
      <c r="R24" s="90"/>
      <c r="S24" s="90"/>
      <c r="T24" s="90"/>
      <c r="U24" s="90"/>
    </row>
    <row r="25" spans="1:21" ht="32.25" customHeight="1" x14ac:dyDescent="0.3">
      <c r="A25" s="5"/>
      <c r="B25" s="40">
        <v>9</v>
      </c>
      <c r="C25" s="41"/>
      <c r="D25" s="88"/>
      <c r="E25" s="89"/>
      <c r="F25" s="42" t="s">
        <v>33</v>
      </c>
      <c r="G25" s="43"/>
      <c r="H25" s="44"/>
      <c r="I25" s="44"/>
      <c r="J25" s="44"/>
      <c r="K25" s="45"/>
      <c r="L25" s="46">
        <f>SUMIFS($G$14:$J$14,G25:J25,"〇")</f>
        <v>0</v>
      </c>
      <c r="M25" s="47"/>
      <c r="N25" s="48"/>
      <c r="O25" s="52"/>
      <c r="P25" s="41"/>
      <c r="Q25" s="40"/>
      <c r="R25" s="90"/>
      <c r="S25" s="90"/>
      <c r="T25" s="90"/>
      <c r="U25" s="90"/>
    </row>
    <row r="26" spans="1:21" ht="32.25" customHeight="1" x14ac:dyDescent="0.3">
      <c r="A26" s="5"/>
      <c r="B26" s="40">
        <v>10</v>
      </c>
      <c r="C26" s="41"/>
      <c r="D26" s="88"/>
      <c r="E26" s="89"/>
      <c r="F26" s="42" t="s">
        <v>33</v>
      </c>
      <c r="G26" s="43"/>
      <c r="H26" s="44"/>
      <c r="I26" s="44"/>
      <c r="J26" s="44"/>
      <c r="K26" s="45"/>
      <c r="L26" s="46">
        <f>SUMIFS($G$14:$J$14,G26:J26,"〇")</f>
        <v>0</v>
      </c>
      <c r="M26" s="47"/>
      <c r="N26" s="48"/>
      <c r="O26" s="52"/>
      <c r="P26" s="41"/>
      <c r="Q26" s="40"/>
      <c r="R26" s="90"/>
      <c r="S26" s="90"/>
      <c r="T26" s="90"/>
      <c r="U26" s="90"/>
    </row>
    <row r="27" spans="1:21" ht="32.25" customHeight="1" x14ac:dyDescent="0.3">
      <c r="A27" s="5"/>
      <c r="B27" s="40">
        <v>11</v>
      </c>
      <c r="C27" s="41"/>
      <c r="D27" s="88"/>
      <c r="E27" s="89"/>
      <c r="F27" s="42" t="s">
        <v>33</v>
      </c>
      <c r="G27" s="43"/>
      <c r="H27" s="44"/>
      <c r="I27" s="44"/>
      <c r="J27" s="44"/>
      <c r="K27" s="45"/>
      <c r="L27" s="46">
        <f>SUMIFS($G$14:$J$14,G27:J27,"〇")</f>
        <v>0</v>
      </c>
      <c r="M27" s="47"/>
      <c r="N27" s="48"/>
      <c r="O27" s="52"/>
      <c r="P27" s="41"/>
      <c r="Q27" s="40"/>
      <c r="R27" s="90"/>
      <c r="S27" s="90"/>
      <c r="T27" s="90"/>
      <c r="U27" s="90"/>
    </row>
    <row r="28" spans="1:21" ht="32.25" customHeight="1" x14ac:dyDescent="0.3">
      <c r="A28" s="5"/>
      <c r="B28" s="40">
        <v>12</v>
      </c>
      <c r="C28" s="41"/>
      <c r="D28" s="88"/>
      <c r="E28" s="89"/>
      <c r="F28" s="42" t="s">
        <v>33</v>
      </c>
      <c r="G28" s="43"/>
      <c r="H28" s="44"/>
      <c r="I28" s="44"/>
      <c r="J28" s="44"/>
      <c r="K28" s="45"/>
      <c r="L28" s="46">
        <f>SUMIFS($G$14:$J$14,G28:J28,"〇")</f>
        <v>0</v>
      </c>
      <c r="M28" s="47"/>
      <c r="N28" s="48"/>
      <c r="O28" s="52"/>
      <c r="P28" s="41"/>
      <c r="Q28" s="40"/>
      <c r="R28" s="90"/>
      <c r="S28" s="90"/>
      <c r="T28" s="90"/>
      <c r="U28" s="90"/>
    </row>
    <row r="29" spans="1:21" ht="32.25" customHeight="1" x14ac:dyDescent="0.3">
      <c r="A29" s="5"/>
      <c r="B29" s="40">
        <v>13</v>
      </c>
      <c r="C29" s="41"/>
      <c r="D29" s="88"/>
      <c r="E29" s="89"/>
      <c r="F29" s="42" t="s">
        <v>33</v>
      </c>
      <c r="G29" s="43"/>
      <c r="H29" s="44"/>
      <c r="I29" s="44"/>
      <c r="J29" s="44"/>
      <c r="K29" s="45"/>
      <c r="L29" s="46">
        <f>SUMIFS($G$14:$J$14,G29:J29,"〇")</f>
        <v>0</v>
      </c>
      <c r="M29" s="47"/>
      <c r="N29" s="48"/>
      <c r="O29" s="52"/>
      <c r="P29" s="41"/>
      <c r="Q29" s="40"/>
      <c r="R29" s="90"/>
      <c r="S29" s="90"/>
      <c r="T29" s="90"/>
      <c r="U29" s="90"/>
    </row>
    <row r="30" spans="1:21" ht="32.25" customHeight="1" x14ac:dyDescent="0.3">
      <c r="A30" s="5"/>
      <c r="B30" s="40">
        <v>14</v>
      </c>
      <c r="C30" s="41"/>
      <c r="D30" s="88"/>
      <c r="E30" s="89"/>
      <c r="F30" s="42" t="s">
        <v>33</v>
      </c>
      <c r="G30" s="43"/>
      <c r="H30" s="44"/>
      <c r="I30" s="44"/>
      <c r="J30" s="44"/>
      <c r="K30" s="45"/>
      <c r="L30" s="46">
        <f>SUMIFS($G$14:$J$14,G30:J30,"〇")</f>
        <v>0</v>
      </c>
      <c r="M30" s="47"/>
      <c r="N30" s="48"/>
      <c r="O30" s="52"/>
      <c r="P30" s="41"/>
      <c r="Q30" s="40"/>
      <c r="R30" s="90"/>
      <c r="S30" s="90"/>
      <c r="T30" s="90"/>
      <c r="U30" s="90"/>
    </row>
    <row r="31" spans="1:21" ht="32.25" customHeight="1" x14ac:dyDescent="0.35">
      <c r="A31" s="5"/>
      <c r="B31" s="40">
        <v>15</v>
      </c>
      <c r="C31" s="41"/>
      <c r="D31" s="100"/>
      <c r="E31" s="98"/>
      <c r="F31" s="42" t="s">
        <v>33</v>
      </c>
      <c r="G31" s="43"/>
      <c r="H31" s="44"/>
      <c r="I31" s="44"/>
      <c r="J31" s="44"/>
      <c r="K31" s="45"/>
      <c r="L31" s="46">
        <f>SUMIFS($G$14:$J$14,G31:J31,"〇")</f>
        <v>0</v>
      </c>
      <c r="M31" s="47"/>
      <c r="N31" s="48"/>
      <c r="O31" s="52"/>
      <c r="P31" s="41"/>
      <c r="Q31" s="40"/>
      <c r="R31" s="90"/>
      <c r="S31" s="90"/>
      <c r="T31" s="90"/>
      <c r="U31" s="90"/>
    </row>
    <row r="32" spans="1:21" ht="32.25" customHeight="1" x14ac:dyDescent="0.35">
      <c r="A32" s="5"/>
      <c r="B32" s="40">
        <v>16</v>
      </c>
      <c r="C32" s="41"/>
      <c r="D32" s="100"/>
      <c r="E32" s="98"/>
      <c r="F32" s="42" t="s">
        <v>33</v>
      </c>
      <c r="G32" s="43"/>
      <c r="H32" s="44"/>
      <c r="I32" s="44"/>
      <c r="J32" s="44"/>
      <c r="K32" s="45"/>
      <c r="L32" s="46">
        <f>SUMIFS($G$14:$J$14,G32:J32,"〇")</f>
        <v>0</v>
      </c>
      <c r="M32" s="47"/>
      <c r="N32" s="48"/>
      <c r="O32" s="52"/>
      <c r="P32" s="41"/>
      <c r="Q32" s="40"/>
      <c r="R32" s="90"/>
      <c r="S32" s="90"/>
      <c r="T32" s="90"/>
      <c r="U32" s="90"/>
    </row>
    <row r="33" spans="1:21" ht="35.25" customHeight="1" x14ac:dyDescent="0.35">
      <c r="A33" s="5"/>
      <c r="B33" s="40">
        <v>17</v>
      </c>
      <c r="C33" s="41"/>
      <c r="D33" s="100"/>
      <c r="E33" s="98"/>
      <c r="F33" s="42" t="s">
        <v>33</v>
      </c>
      <c r="G33" s="43"/>
      <c r="H33" s="44"/>
      <c r="I33" s="44"/>
      <c r="J33" s="44"/>
      <c r="K33" s="45"/>
      <c r="L33" s="46">
        <f>SUMIFS($G$14:$J$14,G33:J33,"〇")</f>
        <v>0</v>
      </c>
      <c r="M33" s="47"/>
      <c r="N33" s="48"/>
      <c r="O33" s="52"/>
      <c r="P33" s="41"/>
      <c r="Q33" s="40"/>
      <c r="R33" s="90"/>
      <c r="S33" s="90"/>
      <c r="T33" s="90"/>
      <c r="U33" s="90"/>
    </row>
    <row r="34" spans="1:21" ht="35.25" customHeight="1" x14ac:dyDescent="0.35">
      <c r="A34" s="5"/>
      <c r="B34" s="40">
        <v>18</v>
      </c>
      <c r="C34" s="41"/>
      <c r="D34" s="100"/>
      <c r="E34" s="98"/>
      <c r="F34" s="42" t="s">
        <v>33</v>
      </c>
      <c r="G34" s="43"/>
      <c r="H34" s="44"/>
      <c r="I34" s="44"/>
      <c r="J34" s="44"/>
      <c r="K34" s="45"/>
      <c r="L34" s="46">
        <f>SUMIFS($G$14:$J$14,G34:J34,"〇")</f>
        <v>0</v>
      </c>
      <c r="M34" s="47"/>
      <c r="N34" s="48"/>
      <c r="O34" s="52"/>
      <c r="P34" s="41"/>
      <c r="Q34" s="40"/>
      <c r="R34" s="90"/>
      <c r="S34" s="90"/>
      <c r="T34" s="90"/>
      <c r="U34" s="90"/>
    </row>
    <row r="35" spans="1:21" ht="35.25" customHeight="1" x14ac:dyDescent="0.35">
      <c r="A35" s="5"/>
      <c r="B35" s="40">
        <v>19</v>
      </c>
      <c r="C35" s="41"/>
      <c r="D35" s="100"/>
      <c r="E35" s="98"/>
      <c r="F35" s="42" t="s">
        <v>33</v>
      </c>
      <c r="G35" s="43"/>
      <c r="H35" s="44"/>
      <c r="I35" s="44"/>
      <c r="J35" s="44"/>
      <c r="K35" s="45"/>
      <c r="L35" s="46">
        <f>SUMIFS($G$14:$J$14,G35:J35,"〇")</f>
        <v>0</v>
      </c>
      <c r="M35" s="47"/>
      <c r="N35" s="48"/>
      <c r="O35" s="52"/>
      <c r="P35" s="41"/>
      <c r="Q35" s="40"/>
      <c r="R35" s="90"/>
      <c r="S35" s="90"/>
      <c r="T35" s="90"/>
      <c r="U35" s="90"/>
    </row>
    <row r="36" spans="1:21" ht="35.25" customHeight="1" x14ac:dyDescent="0.35">
      <c r="A36" s="5"/>
      <c r="B36" s="40">
        <v>20</v>
      </c>
      <c r="C36" s="41"/>
      <c r="D36" s="100"/>
      <c r="E36" s="98"/>
      <c r="F36" s="42" t="s">
        <v>33</v>
      </c>
      <c r="G36" s="43"/>
      <c r="H36" s="44"/>
      <c r="I36" s="44"/>
      <c r="J36" s="44"/>
      <c r="K36" s="45"/>
      <c r="L36" s="46">
        <f>SUMIFS($G$14:$J$14,G36:J36,"〇")</f>
        <v>0</v>
      </c>
      <c r="M36" s="47"/>
      <c r="N36" s="48"/>
      <c r="O36" s="52"/>
      <c r="P36" s="41"/>
      <c r="Q36" s="40"/>
      <c r="R36" s="90"/>
      <c r="S36" s="90"/>
      <c r="T36" s="90"/>
      <c r="U36" s="90"/>
    </row>
    <row r="37" spans="1:21" ht="35.25" customHeight="1" x14ac:dyDescent="0.35">
      <c r="A37" s="5"/>
      <c r="B37" s="40">
        <v>21</v>
      </c>
      <c r="C37" s="41"/>
      <c r="D37" s="100"/>
      <c r="E37" s="98"/>
      <c r="F37" s="42" t="s">
        <v>33</v>
      </c>
      <c r="G37" s="43"/>
      <c r="H37" s="44"/>
      <c r="I37" s="44"/>
      <c r="J37" s="44"/>
      <c r="K37" s="45"/>
      <c r="L37" s="46">
        <f>SUMIFS($G$14:$J$14,G37:J37,"〇")</f>
        <v>0</v>
      </c>
      <c r="M37" s="47"/>
      <c r="N37" s="48"/>
      <c r="O37" s="52"/>
      <c r="P37" s="41"/>
      <c r="Q37" s="40"/>
      <c r="R37" s="90"/>
      <c r="S37" s="90"/>
      <c r="T37" s="90"/>
      <c r="U37" s="90"/>
    </row>
    <row r="38" spans="1:21" ht="35.25" customHeight="1" x14ac:dyDescent="0.35">
      <c r="A38" s="5"/>
      <c r="B38" s="40">
        <v>22</v>
      </c>
      <c r="C38" s="41"/>
      <c r="D38" s="100"/>
      <c r="E38" s="98"/>
      <c r="F38" s="42" t="s">
        <v>33</v>
      </c>
      <c r="G38" s="43"/>
      <c r="H38" s="44"/>
      <c r="I38" s="44"/>
      <c r="J38" s="44"/>
      <c r="K38" s="45"/>
      <c r="L38" s="46">
        <f>SUMIFS($G$14:$J$14,G38:J38,"〇")</f>
        <v>0</v>
      </c>
      <c r="M38" s="47"/>
      <c r="N38" s="48"/>
      <c r="O38" s="52"/>
      <c r="P38" s="41"/>
      <c r="Q38" s="40"/>
      <c r="R38" s="90"/>
      <c r="S38" s="90"/>
      <c r="T38" s="90"/>
      <c r="U38" s="90"/>
    </row>
    <row r="39" spans="1:21" ht="35.25" customHeight="1" x14ac:dyDescent="0.35">
      <c r="A39" s="5"/>
      <c r="B39" s="40">
        <v>23</v>
      </c>
      <c r="C39" s="41"/>
      <c r="D39" s="100"/>
      <c r="E39" s="98"/>
      <c r="F39" s="42" t="s">
        <v>33</v>
      </c>
      <c r="G39" s="43"/>
      <c r="H39" s="44"/>
      <c r="I39" s="44"/>
      <c r="J39" s="44"/>
      <c r="K39" s="45"/>
      <c r="L39" s="46">
        <f>SUMIFS($G$14:$J$14,G39:J39,"〇")</f>
        <v>0</v>
      </c>
      <c r="M39" s="47"/>
      <c r="N39" s="48"/>
      <c r="O39" s="52"/>
      <c r="P39" s="41"/>
      <c r="Q39" s="40"/>
      <c r="R39" s="90"/>
      <c r="S39" s="90"/>
      <c r="T39" s="90"/>
      <c r="U39" s="90"/>
    </row>
    <row r="40" spans="1:21" ht="35.25" customHeight="1" x14ac:dyDescent="0.35">
      <c r="A40" s="5"/>
      <c r="B40" s="40">
        <v>24</v>
      </c>
      <c r="C40" s="41"/>
      <c r="D40" s="97"/>
      <c r="E40" s="98"/>
      <c r="F40" s="42" t="s">
        <v>33</v>
      </c>
      <c r="G40" s="43"/>
      <c r="H40" s="44"/>
      <c r="I40" s="44"/>
      <c r="J40" s="44"/>
      <c r="K40" s="45"/>
      <c r="L40" s="46">
        <f>SUMIFS($G$14:$J$14,G40:J40,"〇")</f>
        <v>0</v>
      </c>
      <c r="M40" s="47"/>
      <c r="N40" s="48"/>
      <c r="O40" s="52"/>
      <c r="P40" s="41"/>
      <c r="Q40" s="40"/>
      <c r="R40" s="90"/>
      <c r="S40" s="90"/>
      <c r="T40" s="90"/>
      <c r="U40" s="90"/>
    </row>
    <row r="41" spans="1:21" ht="35.25" customHeight="1" x14ac:dyDescent="0.35">
      <c r="A41" s="5"/>
      <c r="B41" s="40">
        <v>25</v>
      </c>
      <c r="C41" s="41"/>
      <c r="D41" s="97"/>
      <c r="E41" s="98"/>
      <c r="F41" s="42" t="s">
        <v>33</v>
      </c>
      <c r="G41" s="43"/>
      <c r="H41" s="44"/>
      <c r="I41" s="44"/>
      <c r="J41" s="44"/>
      <c r="K41" s="45"/>
      <c r="L41" s="46">
        <f>SUMIFS($G$14:$J$14,G41:J41,"〇")</f>
        <v>0</v>
      </c>
      <c r="M41" s="47"/>
      <c r="N41" s="48"/>
      <c r="O41" s="52"/>
      <c r="P41" s="41"/>
      <c r="Q41" s="40"/>
      <c r="R41" s="90"/>
      <c r="S41" s="90"/>
      <c r="T41" s="90"/>
      <c r="U41" s="90"/>
    </row>
    <row r="42" spans="1:21" ht="35.25" customHeight="1" x14ac:dyDescent="0.35">
      <c r="A42" s="5"/>
      <c r="B42" s="40">
        <v>26</v>
      </c>
      <c r="C42" s="41"/>
      <c r="D42" s="97"/>
      <c r="E42" s="98"/>
      <c r="F42" s="42" t="s">
        <v>33</v>
      </c>
      <c r="G42" s="43"/>
      <c r="H42" s="44"/>
      <c r="I42" s="44"/>
      <c r="J42" s="44"/>
      <c r="K42" s="45"/>
      <c r="L42" s="46">
        <f>SUMIFS($G$14:$J$14,G42:J42,"〇")</f>
        <v>0</v>
      </c>
      <c r="M42" s="47"/>
      <c r="N42" s="48"/>
      <c r="O42" s="52"/>
      <c r="P42" s="41"/>
      <c r="Q42" s="40"/>
      <c r="R42" s="90"/>
      <c r="S42" s="90"/>
      <c r="T42" s="90"/>
      <c r="U42" s="90"/>
    </row>
    <row r="43" spans="1:21" ht="35.25" customHeight="1" x14ac:dyDescent="0.35">
      <c r="A43" s="5"/>
      <c r="B43" s="40">
        <v>27</v>
      </c>
      <c r="C43" s="41"/>
      <c r="D43" s="97"/>
      <c r="E43" s="98"/>
      <c r="F43" s="42" t="s">
        <v>33</v>
      </c>
      <c r="G43" s="43"/>
      <c r="H43" s="44"/>
      <c r="I43" s="44"/>
      <c r="J43" s="44"/>
      <c r="K43" s="45"/>
      <c r="L43" s="46">
        <f>SUMIFS($G$14:$J$14,G43:J43,"〇")</f>
        <v>0</v>
      </c>
      <c r="M43" s="47"/>
      <c r="N43" s="48"/>
      <c r="O43" s="52"/>
      <c r="P43" s="41"/>
      <c r="Q43" s="40"/>
      <c r="R43" s="90"/>
      <c r="S43" s="90"/>
      <c r="T43" s="90"/>
      <c r="U43" s="90"/>
    </row>
    <row r="44" spans="1:21" ht="35.25" customHeight="1" x14ac:dyDescent="0.35">
      <c r="A44" s="5"/>
      <c r="B44" s="40">
        <v>28</v>
      </c>
      <c r="C44" s="41"/>
      <c r="D44" s="97"/>
      <c r="E44" s="98"/>
      <c r="F44" s="42" t="s">
        <v>33</v>
      </c>
      <c r="G44" s="43"/>
      <c r="H44" s="44"/>
      <c r="I44" s="44"/>
      <c r="J44" s="44"/>
      <c r="K44" s="45"/>
      <c r="L44" s="46">
        <f>SUMIFS($G$14:$J$14,G44:J44,"〇")</f>
        <v>0</v>
      </c>
      <c r="M44" s="47"/>
      <c r="N44" s="48"/>
      <c r="O44" s="52"/>
      <c r="P44" s="41"/>
      <c r="Q44" s="40"/>
      <c r="R44" s="90"/>
      <c r="S44" s="90"/>
      <c r="T44" s="90"/>
      <c r="U44" s="90"/>
    </row>
    <row r="45" spans="1:21" ht="35.25" customHeight="1" x14ac:dyDescent="0.35">
      <c r="A45" s="5"/>
      <c r="B45" s="40">
        <v>29</v>
      </c>
      <c r="C45" s="41"/>
      <c r="D45" s="97"/>
      <c r="E45" s="98"/>
      <c r="F45" s="42" t="s">
        <v>33</v>
      </c>
      <c r="G45" s="43"/>
      <c r="H45" s="44"/>
      <c r="I45" s="44"/>
      <c r="J45" s="44"/>
      <c r="K45" s="45"/>
      <c r="L45" s="46">
        <f>SUMIFS($G$14:$J$14,G45:J45,"〇")</f>
        <v>0</v>
      </c>
      <c r="M45" s="47"/>
      <c r="N45" s="48"/>
      <c r="O45" s="52"/>
      <c r="P45" s="41"/>
      <c r="Q45" s="40"/>
      <c r="R45" s="90"/>
      <c r="S45" s="90"/>
      <c r="T45" s="90"/>
      <c r="U45" s="90"/>
    </row>
    <row r="46" spans="1:21" ht="35.25" customHeight="1" x14ac:dyDescent="0.35">
      <c r="A46" s="5"/>
      <c r="B46" s="40">
        <v>30</v>
      </c>
      <c r="C46" s="41"/>
      <c r="D46" s="97"/>
      <c r="E46" s="98"/>
      <c r="F46" s="42" t="s">
        <v>33</v>
      </c>
      <c r="G46" s="43"/>
      <c r="H46" s="44"/>
      <c r="I46" s="44"/>
      <c r="J46" s="44"/>
      <c r="K46" s="45"/>
      <c r="L46" s="46">
        <f>SUMIFS($G$14:$J$14,G46:J46,"〇")</f>
        <v>0</v>
      </c>
      <c r="M46" s="47"/>
      <c r="N46" s="48"/>
      <c r="O46" s="52"/>
      <c r="P46" s="41"/>
      <c r="Q46" s="40"/>
      <c r="R46" s="90"/>
      <c r="S46" s="90"/>
      <c r="T46" s="90"/>
      <c r="U46" s="90"/>
    </row>
    <row r="47" spans="1:21" ht="35.25" customHeight="1" x14ac:dyDescent="0.35">
      <c r="A47" s="5"/>
      <c r="B47" s="40">
        <v>31</v>
      </c>
      <c r="C47" s="41"/>
      <c r="D47" s="97"/>
      <c r="E47" s="98"/>
      <c r="F47" s="42" t="s">
        <v>33</v>
      </c>
      <c r="G47" s="43"/>
      <c r="H47" s="44"/>
      <c r="I47" s="44"/>
      <c r="J47" s="44"/>
      <c r="K47" s="45"/>
      <c r="L47" s="46">
        <f>SUMIFS($G$14:$J$14,G47:J47,"〇")</f>
        <v>0</v>
      </c>
      <c r="M47" s="47"/>
      <c r="N47" s="48"/>
      <c r="O47" s="52"/>
      <c r="P47" s="41"/>
      <c r="Q47" s="40"/>
      <c r="R47" s="90"/>
      <c r="S47" s="90"/>
      <c r="T47" s="90"/>
      <c r="U47" s="90"/>
    </row>
    <row r="48" spans="1:21" ht="35.25" customHeight="1" x14ac:dyDescent="0.35">
      <c r="A48" s="5"/>
      <c r="B48" s="40">
        <v>32</v>
      </c>
      <c r="C48" s="41"/>
      <c r="D48" s="97"/>
      <c r="E48" s="98"/>
      <c r="F48" s="42" t="s">
        <v>33</v>
      </c>
      <c r="G48" s="43"/>
      <c r="H48" s="44"/>
      <c r="I48" s="44"/>
      <c r="J48" s="44"/>
      <c r="K48" s="45"/>
      <c r="L48" s="46">
        <f>SUMIFS($G$14:$J$14,G48:J48,"〇")</f>
        <v>0</v>
      </c>
      <c r="M48" s="47"/>
      <c r="N48" s="48"/>
      <c r="O48" s="52"/>
      <c r="P48" s="41"/>
      <c r="Q48" s="40"/>
      <c r="R48" s="90"/>
      <c r="S48" s="90"/>
      <c r="T48" s="90"/>
      <c r="U48" s="90"/>
    </row>
    <row r="49" spans="1:21" ht="35.25" customHeight="1" x14ac:dyDescent="0.35">
      <c r="A49" s="5"/>
      <c r="B49" s="40">
        <v>33</v>
      </c>
      <c r="C49" s="41"/>
      <c r="D49" s="97"/>
      <c r="E49" s="98"/>
      <c r="F49" s="42" t="s">
        <v>33</v>
      </c>
      <c r="G49" s="43"/>
      <c r="H49" s="44"/>
      <c r="I49" s="44"/>
      <c r="J49" s="44"/>
      <c r="K49" s="45"/>
      <c r="L49" s="46">
        <f>SUMIFS($G$14:$J$14,G49:J49,"〇")</f>
        <v>0</v>
      </c>
      <c r="M49" s="47"/>
      <c r="N49" s="48"/>
      <c r="O49" s="52"/>
      <c r="P49" s="41"/>
      <c r="Q49" s="40"/>
      <c r="R49" s="90"/>
      <c r="S49" s="90"/>
      <c r="T49" s="90"/>
      <c r="U49" s="90"/>
    </row>
    <row r="50" spans="1:21" ht="35.25" customHeight="1" x14ac:dyDescent="0.35">
      <c r="A50" s="5"/>
      <c r="B50" s="40">
        <v>34</v>
      </c>
      <c r="C50" s="41"/>
      <c r="D50" s="97"/>
      <c r="E50" s="98"/>
      <c r="F50" s="42" t="s">
        <v>33</v>
      </c>
      <c r="G50" s="43"/>
      <c r="H50" s="44"/>
      <c r="I50" s="44"/>
      <c r="J50" s="44"/>
      <c r="K50" s="45"/>
      <c r="L50" s="46">
        <f>SUMIFS($G$14:$J$14,G50:J50,"〇")</f>
        <v>0</v>
      </c>
      <c r="M50" s="47"/>
      <c r="N50" s="48"/>
      <c r="O50" s="52"/>
      <c r="P50" s="41"/>
      <c r="Q50" s="40"/>
      <c r="R50" s="90"/>
      <c r="S50" s="90"/>
      <c r="T50" s="90"/>
      <c r="U50" s="90"/>
    </row>
    <row r="51" spans="1:21" ht="35.25" customHeight="1" x14ac:dyDescent="0.35">
      <c r="A51" s="5"/>
      <c r="B51" s="40">
        <v>35</v>
      </c>
      <c r="C51" s="41"/>
      <c r="D51" s="97"/>
      <c r="E51" s="98"/>
      <c r="F51" s="42" t="s">
        <v>33</v>
      </c>
      <c r="G51" s="43"/>
      <c r="H51" s="44"/>
      <c r="I51" s="44"/>
      <c r="J51" s="44"/>
      <c r="K51" s="45"/>
      <c r="L51" s="46">
        <f>SUMIFS($G$14:$J$14,G51:J51,"〇")</f>
        <v>0</v>
      </c>
      <c r="M51" s="47"/>
      <c r="N51" s="48"/>
      <c r="O51" s="52"/>
      <c r="P51" s="41"/>
      <c r="Q51" s="40"/>
      <c r="R51" s="90"/>
      <c r="S51" s="90"/>
      <c r="T51" s="90"/>
      <c r="U51" s="90"/>
    </row>
    <row r="52" spans="1:21" ht="35.25" customHeight="1" x14ac:dyDescent="0.35">
      <c r="A52" s="5"/>
      <c r="B52" s="40">
        <v>36</v>
      </c>
      <c r="C52" s="41"/>
      <c r="D52" s="97"/>
      <c r="E52" s="98"/>
      <c r="F52" s="42" t="s">
        <v>33</v>
      </c>
      <c r="G52" s="43"/>
      <c r="H52" s="44"/>
      <c r="I52" s="44"/>
      <c r="J52" s="44"/>
      <c r="K52" s="45"/>
      <c r="L52" s="46">
        <f>SUMIFS($G$14:$J$14,G52:J52,"〇")</f>
        <v>0</v>
      </c>
      <c r="M52" s="47"/>
      <c r="N52" s="48"/>
      <c r="O52" s="52"/>
      <c r="P52" s="41"/>
      <c r="Q52" s="40"/>
      <c r="R52" s="90"/>
      <c r="S52" s="90"/>
      <c r="T52" s="90"/>
      <c r="U52" s="90"/>
    </row>
    <row r="53" spans="1:21" ht="35.25" customHeight="1" x14ac:dyDescent="0.35">
      <c r="A53" s="5"/>
      <c r="B53" s="40">
        <v>37</v>
      </c>
      <c r="C53" s="41"/>
      <c r="D53" s="97"/>
      <c r="E53" s="98"/>
      <c r="F53" s="42" t="s">
        <v>33</v>
      </c>
      <c r="G53" s="43"/>
      <c r="H53" s="44"/>
      <c r="I53" s="44"/>
      <c r="J53" s="44"/>
      <c r="K53" s="45"/>
      <c r="L53" s="46">
        <f>SUMIFS($G$14:$J$14,G53:J53,"〇")</f>
        <v>0</v>
      </c>
      <c r="M53" s="47"/>
      <c r="N53" s="48"/>
      <c r="O53" s="52"/>
      <c r="P53" s="41"/>
      <c r="Q53" s="40"/>
      <c r="R53" s="90"/>
      <c r="S53" s="90"/>
      <c r="T53" s="90"/>
      <c r="U53" s="90"/>
    </row>
    <row r="54" spans="1:21" ht="35.25" customHeight="1" x14ac:dyDescent="0.35">
      <c r="A54" s="5"/>
      <c r="B54" s="40">
        <v>38</v>
      </c>
      <c r="C54" s="41"/>
      <c r="D54" s="97"/>
      <c r="E54" s="98"/>
      <c r="F54" s="42" t="s">
        <v>33</v>
      </c>
      <c r="G54" s="43"/>
      <c r="H54" s="44"/>
      <c r="I54" s="44"/>
      <c r="J54" s="44"/>
      <c r="K54" s="45"/>
      <c r="L54" s="46">
        <f>SUMIFS($G$14:$J$14,G54:J54,"〇")</f>
        <v>0</v>
      </c>
      <c r="M54" s="47"/>
      <c r="N54" s="48"/>
      <c r="O54" s="52"/>
      <c r="P54" s="41"/>
      <c r="Q54" s="40"/>
      <c r="R54" s="90"/>
      <c r="S54" s="90"/>
      <c r="T54" s="90"/>
      <c r="U54" s="90"/>
    </row>
    <row r="55" spans="1:21" ht="35.25" customHeight="1" x14ac:dyDescent="0.35">
      <c r="A55" s="5"/>
      <c r="B55" s="40">
        <v>39</v>
      </c>
      <c r="C55" s="41"/>
      <c r="D55" s="97"/>
      <c r="E55" s="98"/>
      <c r="F55" s="42" t="s">
        <v>33</v>
      </c>
      <c r="G55" s="43"/>
      <c r="H55" s="44"/>
      <c r="I55" s="44"/>
      <c r="J55" s="44"/>
      <c r="K55" s="45"/>
      <c r="L55" s="46">
        <f>SUMIFS($G$14:$J$14,G55:J55,"〇")</f>
        <v>0</v>
      </c>
      <c r="M55" s="47"/>
      <c r="N55" s="48"/>
      <c r="O55" s="52"/>
      <c r="P55" s="41"/>
      <c r="Q55" s="40"/>
      <c r="R55" s="90"/>
      <c r="S55" s="90"/>
      <c r="T55" s="90"/>
      <c r="U55" s="90"/>
    </row>
    <row r="56" spans="1:21" ht="35.25" customHeight="1" x14ac:dyDescent="0.35">
      <c r="A56" s="5"/>
      <c r="B56" s="40">
        <v>40</v>
      </c>
      <c r="C56" s="41"/>
      <c r="D56" s="97"/>
      <c r="E56" s="98"/>
      <c r="F56" s="42" t="s">
        <v>33</v>
      </c>
      <c r="G56" s="43"/>
      <c r="H56" s="44"/>
      <c r="I56" s="44"/>
      <c r="J56" s="44"/>
      <c r="K56" s="45"/>
      <c r="L56" s="46">
        <f>SUMIFS($G$14:$J$14,G56:J56,"〇")</f>
        <v>0</v>
      </c>
      <c r="M56" s="47"/>
      <c r="N56" s="48"/>
      <c r="O56" s="52"/>
      <c r="P56" s="41"/>
      <c r="Q56" s="40"/>
      <c r="R56" s="90"/>
      <c r="S56" s="90"/>
      <c r="T56" s="90"/>
      <c r="U56" s="90"/>
    </row>
    <row r="57" spans="1:21" ht="35.25" customHeight="1" x14ac:dyDescent="0.35">
      <c r="A57" s="5"/>
      <c r="B57" s="40">
        <v>41</v>
      </c>
      <c r="C57" s="41"/>
      <c r="D57" s="97"/>
      <c r="E57" s="98"/>
      <c r="F57" s="42" t="s">
        <v>33</v>
      </c>
      <c r="G57" s="43"/>
      <c r="H57" s="44"/>
      <c r="I57" s="44"/>
      <c r="J57" s="44"/>
      <c r="K57" s="45"/>
      <c r="L57" s="46">
        <f>SUMIFS($G$14:$J$14,G57:J57,"〇")</f>
        <v>0</v>
      </c>
      <c r="M57" s="47"/>
      <c r="N57" s="48"/>
      <c r="O57" s="52"/>
      <c r="P57" s="41"/>
      <c r="Q57" s="40"/>
      <c r="R57" s="90"/>
      <c r="S57" s="90"/>
      <c r="T57" s="90"/>
      <c r="U57" s="90"/>
    </row>
  </sheetData>
  <protectedRanges>
    <protectedRange sqref="G17:K57" name="範囲1"/>
  </protectedRanges>
  <mergeCells count="103">
    <mergeCell ref="D57:E57"/>
    <mergeCell ref="R57:U57"/>
    <mergeCell ref="D54:E54"/>
    <mergeCell ref="R54:U54"/>
    <mergeCell ref="D55:E55"/>
    <mergeCell ref="R55:U55"/>
    <mergeCell ref="D56:E56"/>
    <mergeCell ref="R56:U56"/>
    <mergeCell ref="D51:E51"/>
    <mergeCell ref="R51:U51"/>
    <mergeCell ref="D52:E52"/>
    <mergeCell ref="R52:U52"/>
    <mergeCell ref="D53:E53"/>
    <mergeCell ref="R53:U53"/>
    <mergeCell ref="D48:E48"/>
    <mergeCell ref="R48:U48"/>
    <mergeCell ref="D49:E49"/>
    <mergeCell ref="R49:U49"/>
    <mergeCell ref="D50:E50"/>
    <mergeCell ref="R50:U50"/>
    <mergeCell ref="D45:E45"/>
    <mergeCell ref="R45:U45"/>
    <mergeCell ref="D46:E46"/>
    <mergeCell ref="R46:U46"/>
    <mergeCell ref="D47:E47"/>
    <mergeCell ref="R47:U47"/>
    <mergeCell ref="D42:E42"/>
    <mergeCell ref="R42:U42"/>
    <mergeCell ref="D43:E43"/>
    <mergeCell ref="R43:U43"/>
    <mergeCell ref="D44:E44"/>
    <mergeCell ref="R44:U44"/>
    <mergeCell ref="D39:E39"/>
    <mergeCell ref="R39:U39"/>
    <mergeCell ref="D40:E40"/>
    <mergeCell ref="R40:U40"/>
    <mergeCell ref="D41:E41"/>
    <mergeCell ref="R41:U41"/>
    <mergeCell ref="D36:E36"/>
    <mergeCell ref="R36:U36"/>
    <mergeCell ref="D37:E37"/>
    <mergeCell ref="R37:U37"/>
    <mergeCell ref="D38:E38"/>
    <mergeCell ref="R38:U38"/>
    <mergeCell ref="D33:E33"/>
    <mergeCell ref="R33:U33"/>
    <mergeCell ref="D34:E34"/>
    <mergeCell ref="R34:U34"/>
    <mergeCell ref="D35:E35"/>
    <mergeCell ref="R35:U35"/>
    <mergeCell ref="D30:E30"/>
    <mergeCell ref="R30:U30"/>
    <mergeCell ref="D31:E31"/>
    <mergeCell ref="R31:U31"/>
    <mergeCell ref="D32:E32"/>
    <mergeCell ref="R32:U32"/>
    <mergeCell ref="D27:E27"/>
    <mergeCell ref="R27:U27"/>
    <mergeCell ref="D28:E28"/>
    <mergeCell ref="R28:U28"/>
    <mergeCell ref="D29:E29"/>
    <mergeCell ref="R29:U29"/>
    <mergeCell ref="D24:E24"/>
    <mergeCell ref="R24:U24"/>
    <mergeCell ref="D25:E25"/>
    <mergeCell ref="R25:U25"/>
    <mergeCell ref="D26:E26"/>
    <mergeCell ref="R26:U26"/>
    <mergeCell ref="D21:E21"/>
    <mergeCell ref="R21:U21"/>
    <mergeCell ref="D22:E22"/>
    <mergeCell ref="R22:U22"/>
    <mergeCell ref="D23:E23"/>
    <mergeCell ref="R23:U23"/>
    <mergeCell ref="D19:E19"/>
    <mergeCell ref="R19:U19"/>
    <mergeCell ref="D20:E20"/>
    <mergeCell ref="R20:U20"/>
    <mergeCell ref="B15:C15"/>
    <mergeCell ref="D15:E15"/>
    <mergeCell ref="R15:U15"/>
    <mergeCell ref="D16:E16"/>
    <mergeCell ref="R16:U16"/>
    <mergeCell ref="D17:E17"/>
    <mergeCell ref="R17:U17"/>
    <mergeCell ref="Q12:Q14"/>
    <mergeCell ref="R12:U14"/>
    <mergeCell ref="M13:O13"/>
    <mergeCell ref="O3:Q3"/>
    <mergeCell ref="R3:S3"/>
    <mergeCell ref="R5:R8"/>
    <mergeCell ref="S5:S8"/>
    <mergeCell ref="D18:E18"/>
    <mergeCell ref="R18:U18"/>
    <mergeCell ref="B10:C10"/>
    <mergeCell ref="B12:B14"/>
    <mergeCell ref="C12:C14"/>
    <mergeCell ref="D12:E14"/>
    <mergeCell ref="F12:F14"/>
    <mergeCell ref="G12:K12"/>
    <mergeCell ref="L12:L14"/>
    <mergeCell ref="M12:O12"/>
    <mergeCell ref="P12:P14"/>
  </mergeCells>
  <phoneticPr fontId="3"/>
  <dataValidations count="1">
    <dataValidation type="list" allowBlank="1" showErrorMessage="1" sqref="G17:K57" xr:uid="{260F1D1B-6D18-4077-BDA3-E25FBE309F11}">
      <formula1>"〇"</formula1>
    </dataValidation>
  </dataValidations>
  <hyperlinks>
    <hyperlink ref="D10" r:id="rId1" xr:uid="{219A2355-07E3-4962-9B5E-9D35385935D6}"/>
  </hyperlinks>
  <pageMargins left="0.51181102362204722" right="0.51181102362204722" top="0.23622047244094491" bottom="0.15748031496062992" header="0.11811023622047245" footer="0.11811023622047245"/>
  <pageSetup paperSize="9" scale="56" fitToHeight="0" orientation="landscape" cellComments="atEnd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71CCB8D28BC6C44EA501C00017828CA7" ma:contentTypeVersion="10" ma:contentTypeDescription="新しいドキュメントを作成します。" ma:contentTypeScope="" ma:versionID="630046f5d86abb6f6a211bf3773a49b3">
  <xsd:schema xmlns:xsd="http://www.w3.org/2001/XMLSchema" xmlns:xs="http://www.w3.org/2001/XMLSchema" xmlns:p="http://schemas.microsoft.com/office/2006/metadata/properties" xmlns:ns2="e07dd695-b70d-4177-bfc3-4750b24c049d" xmlns:ns3="afd4e677-d9f8-4eb2-a5b6-468f89fa9c12" targetNamespace="http://schemas.microsoft.com/office/2006/metadata/properties" ma:root="true" ma:fieldsID="bea37b67cd06610812e20ccc94c5f34d" ns2:_="" ns3:_="">
    <xsd:import namespace="e07dd695-b70d-4177-bfc3-4750b24c049d"/>
    <xsd:import namespace="afd4e677-d9f8-4eb2-a5b6-468f89fa9c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7dd695-b70d-4177-bfc3-4750b24c0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e0a11ff8-dd5e-41c9-89de-63b2ea8c9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4e677-d9f8-4eb2-a5b6-468f89fa9c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b59900-fbfd-4c3d-aa03-abcd623af612}" ma:internalName="TaxCatchAll" ma:showField="CatchAllData" ma:web="afd4e677-d9f8-4eb2-a5b6-468f89fa9c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07dd695-b70d-4177-bfc3-4750b24c049d">
      <Terms xmlns="http://schemas.microsoft.com/office/infopath/2007/PartnerControls"/>
    </lcf76f155ced4ddcb4097134ff3c332f>
    <TaxCatchAll xmlns="afd4e677-d9f8-4eb2-a5b6-468f89fa9c12" xsi:nil="true"/>
  </documentManagement>
</p:properties>
</file>

<file path=customXml/itemProps1.xml><?xml version="1.0" encoding="utf-8"?>
<ds:datastoreItem xmlns:ds="http://schemas.openxmlformats.org/officeDocument/2006/customXml" ds:itemID="{68A3CAA4-EE4A-4219-966B-E5F99A3E76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7dd695-b70d-4177-bfc3-4750b24c049d"/>
    <ds:schemaRef ds:uri="afd4e677-d9f8-4eb2-a5b6-468f89fa9c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25371B-6968-4EF1-95FB-8B29505871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FF13C7-570C-4CB6-92D1-119C68B216B7}">
  <ds:schemaRefs>
    <ds:schemaRef ds:uri="http://schemas.microsoft.com/office/2006/metadata/properties"/>
    <ds:schemaRef ds:uri="http://schemas.microsoft.com/office/infopath/2007/PartnerControls"/>
    <ds:schemaRef ds:uri="e07dd695-b70d-4177-bfc3-4750b24c049d"/>
    <ds:schemaRef ds:uri="afd4e677-d9f8-4eb2-a5b6-468f89fa9c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U018</dc:creator>
  <cp:lastModifiedBy>航太郎 北田</cp:lastModifiedBy>
  <cp:lastPrinted>2026-03-04T07:37:38Z</cp:lastPrinted>
  <dcterms:created xsi:type="dcterms:W3CDTF">2026-02-05T01:38:12Z</dcterms:created>
  <dcterms:modified xsi:type="dcterms:W3CDTF">2026-03-19T06:02:00Z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0x01010071CCB8D28BC6C44EA501C00017828CA7</vt:lpwstr>
  </property>
</Properties>
</file>