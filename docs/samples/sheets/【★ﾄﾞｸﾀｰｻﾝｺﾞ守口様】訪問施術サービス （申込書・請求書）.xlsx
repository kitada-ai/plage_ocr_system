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0.100\data\訪問理美容\【20003 ﾄﾞｸﾀｰｻﾝｺﾞ守口様】\請求書\"/>
    </mc:Choice>
  </mc:AlternateContent>
  <xr:revisionPtr revIDLastSave="0" documentId="13_ncr:1_{0E1BD3DC-30A3-485B-8D0E-25A8C3CE858B}" xr6:coauthVersionLast="47" xr6:coauthVersionMax="47" xr10:uidLastSave="{00000000-0000-0000-0000-000000000000}"/>
  <bookViews>
    <workbookView xWindow="28680" yWindow="-180" windowWidth="29040" windowHeight="15720" activeTab="2" xr2:uid="{00000000-000D-0000-FFFF-FFFF00000000}"/>
  </bookViews>
  <sheets>
    <sheet name="2025.8 " sheetId="5" r:id="rId1"/>
    <sheet name="2025.9 " sheetId="6" r:id="rId2"/>
    <sheet name="2025.10" sheetId="3" r:id="rId3"/>
    <sheet name="申込書" sheetId="1" r:id="rId4"/>
    <sheet name="請求書" sheetId="2" r:id="rId5"/>
    <sheet name="請求書 (3)" sheetId="4" state="hidden" r:id="rId6"/>
  </sheets>
  <definedNames>
    <definedName name="_xlnm.Print_Area" localSheetId="2">'2025.10'!$A$1:$P$40</definedName>
    <definedName name="_xlnm.Print_Area" localSheetId="0">'2025.8 '!$A$1:$P$40</definedName>
    <definedName name="_xlnm.Print_Area" localSheetId="1">'2025.9 '!$A$1:$P$40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6" l="1"/>
  <c r="K33" i="6" s="1"/>
  <c r="D16" i="6" s="1"/>
  <c r="K23" i="5"/>
  <c r="K33" i="5"/>
  <c r="D16" i="5"/>
  <c r="K23" i="3"/>
  <c r="K33" i="3" s="1"/>
  <c r="D16" i="3" s="1"/>
  <c r="K33" i="4"/>
  <c r="D16" i="4"/>
  <c r="D16" i="2"/>
  <c r="K33" i="2"/>
</calcChain>
</file>

<file path=xl/sharedStrings.xml><?xml version="1.0" encoding="utf-8"?>
<sst xmlns="http://schemas.openxmlformats.org/spreadsheetml/2006/main" count="206" uniqueCount="74">
  <si>
    <t>【訪問理美容サービス　申込書】</t>
  </si>
  <si>
    <t>下記の項目をご記入のうえ、お申し込みください。</t>
  </si>
  <si>
    <t>施設名：</t>
  </si>
  <si>
    <t>施術日：</t>
  </si>
  <si>
    <t>令和　　　年　　　月　　　日</t>
  </si>
  <si>
    <t>※ご希望の施術内容に〇印をつけてください。</t>
  </si>
  <si>
    <t>※「施術開始時間の希望」は第一～第三希望まですべてご記入ください。</t>
  </si>
  <si>
    <t>No.</t>
  </si>
  <si>
    <t>部屋番号</t>
  </si>
  <si>
    <t>氏名</t>
  </si>
  <si>
    <t>性別</t>
  </si>
  <si>
    <t>メニュー／料金</t>
  </si>
  <si>
    <t>合計料金</t>
  </si>
  <si>
    <t>施術開始時間の希望</t>
  </si>
  <si>
    <t>備考</t>
  </si>
  <si>
    <t>カット</t>
  </si>
  <si>
    <t>パーマ</t>
  </si>
  <si>
    <t>顔そり</t>
  </si>
  <si>
    <t>シャンプー</t>
  </si>
  <si>
    <t>第一希望</t>
  </si>
  <si>
    <t>第二希望</t>
  </si>
  <si>
    <t>第三希望</t>
  </si>
  <si>
    <t>記入例</t>
  </si>
  <si>
    <t>001</t>
  </si>
  <si>
    <t>山田　太郎</t>
  </si>
  <si>
    <t>男・女</t>
  </si>
  <si>
    <t>〇</t>
  </si>
  <si>
    <t>9：00</t>
  </si>
  <si>
    <t>10：30</t>
  </si>
  <si>
    <t>11：00</t>
  </si>
  <si>
    <t>御中</t>
  </si>
  <si>
    <t>※ここは印字する予定です</t>
  </si>
  <si>
    <t>下記の通り、ご請求申し上げます。</t>
  </si>
  <si>
    <t>月</t>
  </si>
  <si>
    <t>日</t>
  </si>
  <si>
    <t>曜日</t>
  </si>
  <si>
    <t>料金</t>
  </si>
  <si>
    <t>名義：</t>
  </si>
  <si>
    <t>カラー 
(白髪染め)</t>
    <phoneticPr fontId="1"/>
  </si>
  <si>
    <t>ヘアー
マニキュア</t>
    <phoneticPr fontId="1"/>
  </si>
  <si>
    <t>　※30分単位
　※9:00開始～16:00終了まで</t>
    <phoneticPr fontId="1"/>
  </si>
  <si>
    <t>ご請求金額
(消費税込み)</t>
    <phoneticPr fontId="1"/>
  </si>
  <si>
    <t>施術実施
有無</t>
    <rPh sb="2" eb="4">
      <t>ジッシ</t>
    </rPh>
    <rPh sb="5" eb="7">
      <t>ウム</t>
    </rPh>
    <phoneticPr fontId="1"/>
  </si>
  <si>
    <t>✓</t>
    <phoneticPr fontId="1"/>
  </si>
  <si>
    <t>送付先：</t>
    <rPh sb="0" eb="2">
      <t>ソウフ</t>
    </rPh>
    <rPh sb="2" eb="3">
      <t>サキ</t>
    </rPh>
    <phoneticPr fontId="1"/>
  </si>
  <si>
    <t>※お申込みはご訪問日の5日前までとなります。</t>
    <rPh sb="2" eb="4">
      <t>モウシコ</t>
    </rPh>
    <rPh sb="7" eb="10">
      <t>ホウモンヒ</t>
    </rPh>
    <rPh sb="12" eb="13">
      <t>ニチ</t>
    </rPh>
    <rPh sb="13" eb="14">
      <t>マエ</t>
    </rPh>
    <phoneticPr fontId="1"/>
  </si>
  <si>
    <t>houmon@hannan-plage.jp</t>
    <phoneticPr fontId="1"/>
  </si>
  <si>
    <t>合計金額(税込み10%)</t>
    <rPh sb="5" eb="7">
      <t>ゼイコ</t>
    </rPh>
    <phoneticPr fontId="1"/>
  </si>
  <si>
    <t>＜会社名＞阪南理美容株式会社</t>
    <rPh sb="5" eb="10">
      <t>ハンナンリビヨウ</t>
    </rPh>
    <rPh sb="10" eb="14">
      <t>カブシキガイシャ</t>
    </rPh>
    <phoneticPr fontId="1"/>
  </si>
  <si>
    <t>＜住所＞大阪府藤井寺市春日丘3丁目12-1</t>
    <rPh sb="4" eb="7">
      <t>オオサカフ</t>
    </rPh>
    <rPh sb="7" eb="11">
      <t>フジイデラシ</t>
    </rPh>
    <rPh sb="11" eb="14">
      <t>カスガオカ</t>
    </rPh>
    <rPh sb="15" eb="17">
      <t>チョウメ</t>
    </rPh>
    <phoneticPr fontId="1"/>
  </si>
  <si>
    <t>TEL：072-952-3667</t>
    <phoneticPr fontId="1"/>
  </si>
  <si>
    <t>FAX：072-952-4810</t>
    <phoneticPr fontId="1"/>
  </si>
  <si>
    <t>登録番号：T7-1201-0103-2980</t>
    <phoneticPr fontId="1"/>
  </si>
  <si>
    <t>振込先：</t>
    <phoneticPr fontId="1"/>
  </si>
  <si>
    <t>三菱UFJ銀行　藤井寺支店</t>
    <rPh sb="0" eb="2">
      <t>ミツビシ</t>
    </rPh>
    <rPh sb="8" eb="11">
      <t>フジイデラ</t>
    </rPh>
    <phoneticPr fontId="1"/>
  </si>
  <si>
    <t>普通　1413280</t>
    <phoneticPr fontId="1"/>
  </si>
  <si>
    <t>ハンナンリビヨウ（カ</t>
    <phoneticPr fontId="1"/>
  </si>
  <si>
    <t>月</t>
    <rPh sb="0" eb="1">
      <t>ゲツ</t>
    </rPh>
    <phoneticPr fontId="1"/>
  </si>
  <si>
    <t>15名</t>
    <rPh sb="2" eb="3">
      <t>メイ</t>
    </rPh>
    <phoneticPr fontId="1"/>
  </si>
  <si>
    <t>2名</t>
    <rPh sb="1" eb="2">
      <t>メイ</t>
    </rPh>
    <phoneticPr fontId="1"/>
  </si>
  <si>
    <t>御請求書（令和　7年　8月度）</t>
    <phoneticPr fontId="1"/>
  </si>
  <si>
    <t>令和　　7年　　8月　　31日</t>
    <phoneticPr fontId="1"/>
  </si>
  <si>
    <t>カット15名
顔剃り2名</t>
    <rPh sb="5" eb="6">
      <t>メイ</t>
    </rPh>
    <rPh sb="7" eb="8">
      <t>カオ</t>
    </rPh>
    <rPh sb="8" eb="9">
      <t>ソ</t>
    </rPh>
    <rPh sb="11" eb="12">
      <t>メイ</t>
    </rPh>
    <phoneticPr fontId="1"/>
  </si>
  <si>
    <t>ドクターサンゴ守口</t>
    <rPh sb="7" eb="9">
      <t>モリグチ</t>
    </rPh>
    <phoneticPr fontId="1"/>
  </si>
  <si>
    <t>登録番号：T7120101032980</t>
    <phoneticPr fontId="1"/>
  </si>
  <si>
    <t>初回割引</t>
    <rPh sb="0" eb="2">
      <t>ショカイ</t>
    </rPh>
    <rPh sb="2" eb="4">
      <t>ワリビキ</t>
    </rPh>
    <phoneticPr fontId="1"/>
  </si>
  <si>
    <t>御請求書（令和　7年　9月度）</t>
    <phoneticPr fontId="1"/>
  </si>
  <si>
    <t>令和　　7年　　9月　　30日</t>
    <phoneticPr fontId="1"/>
  </si>
  <si>
    <t xml:space="preserve">カット　17名
カラー  1名
顔剃り  5名
シャンプー 3名
</t>
    <rPh sb="6" eb="7">
      <t>メイ</t>
    </rPh>
    <rPh sb="14" eb="15">
      <t>メイ</t>
    </rPh>
    <rPh sb="16" eb="17">
      <t>カオ</t>
    </rPh>
    <rPh sb="17" eb="18">
      <t>ソ</t>
    </rPh>
    <rPh sb="22" eb="23">
      <t>メイ</t>
    </rPh>
    <rPh sb="31" eb="32">
      <t>メイ</t>
    </rPh>
    <phoneticPr fontId="1"/>
  </si>
  <si>
    <t>御請求書（令和　7年　10月度）</t>
    <phoneticPr fontId="1"/>
  </si>
  <si>
    <t>令和　　7年　　10月　　31日</t>
    <phoneticPr fontId="1"/>
  </si>
  <si>
    <t>ベットカット
初回割引</t>
    <rPh sb="7" eb="9">
      <t>ショカイ</t>
    </rPh>
    <rPh sb="9" eb="11">
      <t>ワリビキ</t>
    </rPh>
    <phoneticPr fontId="1"/>
  </si>
  <si>
    <t>ベットカット</t>
    <phoneticPr fontId="1"/>
  </si>
  <si>
    <t xml:space="preserve">カット　12名
ベットカット　1名
マニキュア  1名
顔剃り  2名
シャンプー 1名
</t>
    <rPh sb="6" eb="7">
      <t>メイ</t>
    </rPh>
    <rPh sb="16" eb="17">
      <t>メイ</t>
    </rPh>
    <rPh sb="26" eb="27">
      <t>メイ</t>
    </rPh>
    <rPh sb="28" eb="29">
      <t>カオ</t>
    </rPh>
    <rPh sb="29" eb="30">
      <t>ソ</t>
    </rPh>
    <rPh sb="34" eb="35">
      <t>メイ</t>
    </rPh>
    <rPh sb="43" eb="44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</si>
</sst>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6" formatCode="&quot;¥&quot;#,##0;[Red]&quot;¥&quot;\-#,##0"/>
    <numFmt numFmtId="176" formatCode="[$¥-411]#,##0"/>
    <numFmt numFmtId="177" formatCode="#,##0&quot;円&quot;"/>
    <numFmt numFmtId="178" formatCode="[$¥-411]#,##0;[$¥-411]#,##0"/>
  </numFmts>
  <fonts count="25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b/>
      <sz val="14"/>
      <color theme="1"/>
      <name val="Meiryo UI"/>
      <family val="3"/>
      <charset val="128"/>
    </font>
    <font>
      <b/>
      <sz val="23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rgb="FF666666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8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2"/>
      <color theme="1"/>
      <name val="Segoe UI Symbol"/>
      <family val="3"/>
    </font>
    <font>
      <u/>
      <sz val="10"/>
      <color theme="10"/>
      <name val="Arial"/>
      <family val="2"/>
      <scheme val="minor"/>
    </font>
    <font>
      <u/>
      <sz val="14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Meiryo UI"/>
      <family val="3"/>
      <charset val="128"/>
    </font>
    <font>
      <b/>
      <sz val="14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0" fillId="0" borderId="0" applyNumberFormat="0" applyFill="0" applyBorder="0" applyAlignment="0" applyProtection="0"/>
    <xf numFmtId="38" fontId="22" fillId="0" borderId="0" applyFont="0" applyFill="0" applyBorder="0" applyAlignment="0" applyProtection="0">
      <alignment vertical="center"/>
    </xf>
    <xf numFmtId="6" fontId="22" fillId="0" borderId="0" applyFont="0" applyFill="0" applyBorder="0" applyAlignment="0" applyProtection="0">
      <alignment vertical="center"/>
    </xf>
  </cellStyleXfs>
  <cellXfs count="22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8" fillId="0" borderId="0" xfId="0" applyFont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176" fontId="10" fillId="2" borderId="16" xfId="0" applyNumberFormat="1" applyFont="1" applyFill="1" applyBorder="1" applyAlignment="1">
      <alignment horizontal="center" vertical="center"/>
    </xf>
    <xf numFmtId="176" fontId="10" fillId="2" borderId="17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49" fontId="11" fillId="0" borderId="21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176" fontId="11" fillId="0" borderId="27" xfId="0" applyNumberFormat="1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8" fillId="0" borderId="21" xfId="0" applyFont="1" applyBorder="1"/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1" fontId="12" fillId="0" borderId="0" xfId="0" applyNumberFormat="1" applyFont="1" applyAlignment="1">
      <alignment horizontal="left" vertical="center"/>
    </xf>
    <xf numFmtId="0" fontId="5" fillId="3" borderId="0" xfId="0" applyFont="1" applyFill="1" applyAlignment="1">
      <alignment vertical="center"/>
    </xf>
    <xf numFmtId="0" fontId="8" fillId="0" borderId="0" xfId="0" applyFont="1"/>
    <xf numFmtId="0" fontId="8" fillId="0" borderId="38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19" fillId="0" borderId="39" xfId="0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6" fillId="0" borderId="0" xfId="0" applyFont="1" applyAlignment="1">
      <alignment horizontal="right" vertical="center"/>
    </xf>
    <xf numFmtId="176" fontId="18" fillId="2" borderId="16" xfId="0" applyNumberFormat="1" applyFont="1" applyFill="1" applyBorder="1" applyAlignment="1">
      <alignment horizontal="center" vertical="center"/>
    </xf>
    <xf numFmtId="176" fontId="18" fillId="2" borderId="17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4" fillId="4" borderId="0" xfId="0" applyFont="1" applyFill="1"/>
    <xf numFmtId="0" fontId="12" fillId="4" borderId="0" xfId="0" applyFont="1" applyFill="1"/>
    <xf numFmtId="0" fontId="8" fillId="4" borderId="0" xfId="0" applyFont="1" applyFill="1"/>
    <xf numFmtId="176" fontId="18" fillId="2" borderId="35" xfId="0" applyNumberFormat="1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35" xfId="0" applyFont="1" applyBorder="1"/>
    <xf numFmtId="0" fontId="9" fillId="0" borderId="30" xfId="0" applyFont="1" applyBorder="1"/>
    <xf numFmtId="0" fontId="12" fillId="0" borderId="6" xfId="0" applyFont="1" applyBorder="1" applyAlignment="1">
      <alignment vertical="center"/>
    </xf>
    <xf numFmtId="6" fontId="9" fillId="0" borderId="40" xfId="3" applyFont="1" applyBorder="1" applyAlignment="1">
      <alignment horizontal="center"/>
    </xf>
    <xf numFmtId="6" fontId="9" fillId="0" borderId="41" xfId="3" applyFont="1" applyBorder="1" applyAlignment="1">
      <alignment horizontal="center"/>
    </xf>
    <xf numFmtId="6" fontId="9" fillId="0" borderId="42" xfId="3" applyFont="1" applyBorder="1" applyAlignment="1">
      <alignment horizont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43" xfId="0" applyFont="1" applyBorder="1"/>
    <xf numFmtId="0" fontId="12" fillId="0" borderId="44" xfId="0" applyFont="1" applyBorder="1"/>
    <xf numFmtId="0" fontId="8" fillId="0" borderId="45" xfId="0" applyFont="1" applyBorder="1"/>
    <xf numFmtId="0" fontId="12" fillId="0" borderId="46" xfId="0" applyFont="1" applyBorder="1"/>
    <xf numFmtId="0" fontId="12" fillId="0" borderId="0" xfId="0" applyFont="1"/>
    <xf numFmtId="0" fontId="8" fillId="0" borderId="47" xfId="0" applyFont="1" applyBorder="1"/>
    <xf numFmtId="0" fontId="12" fillId="0" borderId="48" xfId="0" applyFont="1" applyBorder="1"/>
    <xf numFmtId="0" fontId="12" fillId="0" borderId="49" xfId="0" applyFont="1" applyBorder="1"/>
    <xf numFmtId="0" fontId="8" fillId="0" borderId="50" xfId="0" applyFont="1" applyBorder="1"/>
    <xf numFmtId="0" fontId="12" fillId="0" borderId="0" xfId="0" applyFont="1" applyAlignment="1">
      <alignment horizontal="right" vertical="center"/>
    </xf>
    <xf numFmtId="0" fontId="4" fillId="0" borderId="0" xfId="0" applyFont="1"/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1" xfId="0" applyFont="1" applyBorder="1"/>
    <xf numFmtId="0" fontId="7" fillId="0" borderId="0" xfId="0" applyFont="1"/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17" fillId="2" borderId="32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12" fillId="2" borderId="2" xfId="0" applyFont="1" applyFill="1" applyBorder="1" applyAlignment="1">
      <alignment horizontal="center" vertical="center" wrapText="1"/>
    </xf>
    <xf numFmtId="0" fontId="14" fillId="0" borderId="11" xfId="0" applyFont="1" applyBorder="1"/>
    <xf numFmtId="0" fontId="14" fillId="0" borderId="29" xfId="0" applyFont="1" applyBorder="1"/>
    <xf numFmtId="0" fontId="14" fillId="0" borderId="30" xfId="0" applyFont="1" applyBorder="1"/>
    <xf numFmtId="6" fontId="16" fillId="0" borderId="2" xfId="3" applyFont="1" applyBorder="1" applyAlignment="1">
      <alignment horizontal="center" vertical="center"/>
    </xf>
    <xf numFmtId="6" fontId="23" fillId="0" borderId="4" xfId="3" applyFont="1" applyBorder="1" applyAlignment="1"/>
    <xf numFmtId="6" fontId="23" fillId="0" borderId="11" xfId="3" applyFont="1" applyBorder="1" applyAlignment="1"/>
    <xf numFmtId="6" fontId="23" fillId="0" borderId="29" xfId="3" applyFont="1" applyBorder="1" applyAlignment="1"/>
    <xf numFmtId="6" fontId="23" fillId="0" borderId="1" xfId="3" applyFont="1" applyBorder="1" applyAlignment="1"/>
    <xf numFmtId="6" fontId="23" fillId="0" borderId="30" xfId="3" applyFont="1" applyBorder="1" applyAlignment="1"/>
    <xf numFmtId="0" fontId="12" fillId="2" borderId="31" xfId="0" applyFont="1" applyFill="1" applyBorder="1" applyAlignment="1">
      <alignment horizontal="center" vertical="center"/>
    </xf>
    <xf numFmtId="0" fontId="9" fillId="0" borderId="16" xfId="0" applyFont="1" applyBorder="1"/>
    <xf numFmtId="0" fontId="9" fillId="0" borderId="33" xfId="0" applyFont="1" applyBorder="1"/>
    <xf numFmtId="0" fontId="12" fillId="2" borderId="32" xfId="0" applyFont="1" applyFill="1" applyBorder="1" applyAlignment="1">
      <alignment horizontal="center" vertical="center"/>
    </xf>
    <xf numFmtId="0" fontId="9" fillId="0" borderId="17" xfId="0" applyFont="1" applyBorder="1"/>
    <xf numFmtId="0" fontId="9" fillId="0" borderId="34" xfId="0" applyFont="1" applyBorder="1"/>
    <xf numFmtId="0" fontId="12" fillId="2" borderId="6" xfId="0" applyFont="1" applyFill="1" applyBorder="1" applyAlignment="1">
      <alignment horizontal="center" vertical="center"/>
    </xf>
    <xf numFmtId="0" fontId="9" fillId="0" borderId="15" xfId="0" applyFont="1" applyBorder="1"/>
    <xf numFmtId="0" fontId="9" fillId="0" borderId="35" xfId="0" applyFont="1" applyBorder="1"/>
    <xf numFmtId="0" fontId="17" fillId="2" borderId="31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78" fontId="12" fillId="0" borderId="31" xfId="2" applyNumberFormat="1" applyFont="1" applyBorder="1" applyAlignment="1">
      <alignment horizontal="center" vertical="center"/>
    </xf>
    <xf numFmtId="178" fontId="9" fillId="0" borderId="33" xfId="2" applyNumberFormat="1" applyFont="1" applyBorder="1" applyAlignment="1"/>
    <xf numFmtId="178" fontId="12" fillId="0" borderId="32" xfId="2" applyNumberFormat="1" applyFont="1" applyBorder="1" applyAlignment="1">
      <alignment horizontal="center" vertical="center"/>
    </xf>
    <xf numFmtId="178" fontId="9" fillId="0" borderId="34" xfId="2" applyNumberFormat="1" applyFont="1" applyBorder="1" applyAlignment="1"/>
    <xf numFmtId="178" fontId="12" fillId="0" borderId="4" xfId="2" applyNumberFormat="1" applyFont="1" applyBorder="1" applyAlignment="1">
      <alignment horizontal="center" vertical="center"/>
    </xf>
    <xf numFmtId="178" fontId="9" fillId="0" borderId="5" xfId="2" applyNumberFormat="1" applyFont="1" applyBorder="1" applyAlignment="1"/>
    <xf numFmtId="178" fontId="9" fillId="0" borderId="1" xfId="2" applyNumberFormat="1" applyFont="1" applyBorder="1" applyAlignment="1"/>
    <xf numFmtId="178" fontId="9" fillId="0" borderId="37" xfId="2" applyNumberFormat="1" applyFont="1" applyBorder="1" applyAlignment="1"/>
    <xf numFmtId="38" fontId="12" fillId="0" borderId="6" xfId="2" applyFont="1" applyBorder="1" applyAlignment="1">
      <alignment horizontal="center" vertical="center" wrapText="1"/>
    </xf>
    <xf numFmtId="38" fontId="9" fillId="0" borderId="11" xfId="2" applyFont="1" applyBorder="1" applyAlignment="1"/>
    <xf numFmtId="38" fontId="9" fillId="0" borderId="35" xfId="2" applyFont="1" applyBorder="1" applyAlignment="1"/>
    <xf numFmtId="38" fontId="9" fillId="0" borderId="30" xfId="2" applyFont="1" applyBorder="1" applyAlignment="1"/>
    <xf numFmtId="0" fontId="17" fillId="2" borderId="6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9" fillId="0" borderId="5" xfId="0" applyFont="1" applyBorder="1"/>
    <xf numFmtId="0" fontId="4" fillId="0" borderId="12" xfId="0" applyFont="1" applyBorder="1"/>
    <xf numFmtId="0" fontId="9" fillId="0" borderId="14" xfId="0" applyFont="1" applyBorder="1"/>
    <xf numFmtId="0" fontId="9" fillId="0" borderId="29" xfId="0" applyFont="1" applyBorder="1"/>
    <xf numFmtId="0" fontId="9" fillId="0" borderId="37" xfId="0" applyFont="1" applyBorder="1"/>
    <xf numFmtId="0" fontId="9" fillId="0" borderId="11" xfId="0" applyFont="1" applyBorder="1"/>
    <xf numFmtId="0" fontId="9" fillId="0" borderId="19" xfId="0" applyFont="1" applyBorder="1"/>
    <xf numFmtId="0" fontId="9" fillId="0" borderId="30" xfId="0" applyFont="1" applyBorder="1"/>
    <xf numFmtId="178" fontId="12" fillId="0" borderId="10" xfId="2" applyNumberFormat="1" applyFont="1" applyBorder="1" applyAlignment="1">
      <alignment horizontal="center" vertical="center"/>
    </xf>
    <xf numFmtId="178" fontId="9" fillId="0" borderId="36" xfId="2" applyNumberFormat="1" applyFont="1" applyBorder="1" applyAlignment="1"/>
    <xf numFmtId="38" fontId="12" fillId="0" borderId="4" xfId="2" applyFont="1" applyBorder="1" applyAlignment="1">
      <alignment horizontal="center" vertical="center"/>
    </xf>
    <xf numFmtId="38" fontId="9" fillId="0" borderId="5" xfId="2" applyFont="1" applyBorder="1" applyAlignment="1"/>
    <xf numFmtId="38" fontId="9" fillId="0" borderId="1" xfId="2" applyFont="1" applyBorder="1" applyAlignment="1"/>
    <xf numFmtId="38" fontId="9" fillId="0" borderId="37" xfId="2" applyFont="1" applyBorder="1" applyAlignment="1"/>
    <xf numFmtId="0" fontId="12" fillId="0" borderId="10" xfId="0" applyFont="1" applyBorder="1" applyAlignment="1">
      <alignment horizontal="center" vertical="center"/>
    </xf>
    <xf numFmtId="0" fontId="9" fillId="0" borderId="36" xfId="0" applyFont="1" applyBorder="1"/>
    <xf numFmtId="5" fontId="12" fillId="0" borderId="4" xfId="3" applyNumberFormat="1" applyFont="1" applyBorder="1" applyAlignment="1">
      <alignment horizontal="center" vertical="center"/>
    </xf>
    <xf numFmtId="5" fontId="9" fillId="0" borderId="5" xfId="3" applyNumberFormat="1" applyFont="1" applyBorder="1" applyAlignment="1"/>
    <xf numFmtId="5" fontId="9" fillId="0" borderId="1" xfId="3" applyNumberFormat="1" applyFont="1" applyBorder="1" applyAlignment="1"/>
    <xf numFmtId="5" fontId="9" fillId="0" borderId="37" xfId="3" applyNumberFormat="1" applyFont="1" applyBorder="1" applyAlignment="1"/>
    <xf numFmtId="0" fontId="1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9" fillId="0" borderId="4" xfId="0" applyFont="1" applyBorder="1"/>
    <xf numFmtId="6" fontId="2" fillId="0" borderId="2" xfId="3" applyFont="1" applyBorder="1" applyAlignment="1">
      <alignment horizontal="center" vertical="center"/>
    </xf>
    <xf numFmtId="6" fontId="9" fillId="0" borderId="5" xfId="3" applyFont="1" applyBorder="1" applyAlignment="1"/>
    <xf numFmtId="6" fontId="9" fillId="0" borderId="29" xfId="3" applyFont="1" applyBorder="1" applyAlignment="1"/>
    <xf numFmtId="6" fontId="9" fillId="0" borderId="37" xfId="3" applyFont="1" applyBorder="1" applyAlignment="1"/>
    <xf numFmtId="0" fontId="2" fillId="0" borderId="6" xfId="0" applyFont="1" applyBorder="1" applyAlignment="1">
      <alignment horizontal="center" vertical="center"/>
    </xf>
    <xf numFmtId="38" fontId="14" fillId="0" borderId="4" xfId="2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shrinkToFit="1"/>
    </xf>
    <xf numFmtId="0" fontId="9" fillId="0" borderId="11" xfId="0" applyFont="1" applyBorder="1" applyAlignment="1">
      <alignment shrinkToFit="1"/>
    </xf>
    <xf numFmtId="0" fontId="9" fillId="0" borderId="35" xfId="0" applyFont="1" applyBorder="1" applyAlignment="1">
      <alignment shrinkToFit="1"/>
    </xf>
    <xf numFmtId="0" fontId="9" fillId="0" borderId="30" xfId="0" applyFont="1" applyBorder="1" applyAlignment="1">
      <alignment shrinkToFit="1"/>
    </xf>
    <xf numFmtId="0" fontId="14" fillId="0" borderId="34" xfId="0" applyFont="1" applyBorder="1"/>
    <xf numFmtId="0" fontId="14" fillId="0" borderId="36" xfId="0" applyFont="1" applyBorder="1"/>
    <xf numFmtId="5" fontId="14" fillId="0" borderId="5" xfId="3" applyNumberFormat="1" applyFont="1" applyBorder="1" applyAlignment="1"/>
    <xf numFmtId="5" fontId="14" fillId="0" borderId="1" xfId="3" applyNumberFormat="1" applyFont="1" applyBorder="1" applyAlignment="1"/>
    <xf numFmtId="5" fontId="14" fillId="0" borderId="37" xfId="3" applyNumberFormat="1" applyFont="1" applyBorder="1" applyAlignment="1"/>
    <xf numFmtId="0" fontId="14" fillId="0" borderId="33" xfId="0" applyFont="1" applyBorder="1"/>
    <xf numFmtId="0" fontId="14" fillId="0" borderId="35" xfId="0" applyFont="1" applyBorder="1"/>
    <xf numFmtId="178" fontId="14" fillId="0" borderId="34" xfId="2" applyNumberFormat="1" applyFont="1" applyBorder="1" applyAlignment="1"/>
    <xf numFmtId="178" fontId="14" fillId="0" borderId="36" xfId="2" applyNumberFormat="1" applyFont="1" applyBorder="1" applyAlignment="1"/>
    <xf numFmtId="178" fontId="14" fillId="0" borderId="5" xfId="2" applyNumberFormat="1" applyFont="1" applyBorder="1" applyAlignment="1"/>
    <xf numFmtId="178" fontId="14" fillId="0" borderId="1" xfId="2" applyNumberFormat="1" applyFont="1" applyBorder="1" applyAlignment="1"/>
    <xf numFmtId="178" fontId="14" fillId="0" borderId="37" xfId="2" applyNumberFormat="1" applyFont="1" applyBorder="1" applyAlignment="1"/>
    <xf numFmtId="38" fontId="12" fillId="0" borderId="6" xfId="2" applyFont="1" applyBorder="1" applyAlignment="1">
      <alignment horizontal="center" vertical="top" wrapText="1"/>
    </xf>
    <xf numFmtId="38" fontId="9" fillId="0" borderId="11" xfId="2" applyFont="1" applyBorder="1" applyAlignment="1">
      <alignment horizontal="center" vertical="top"/>
    </xf>
    <xf numFmtId="38" fontId="9" fillId="0" borderId="35" xfId="2" applyFont="1" applyBorder="1" applyAlignment="1">
      <alignment horizontal="center" vertical="top"/>
    </xf>
    <xf numFmtId="38" fontId="9" fillId="0" borderId="30" xfId="2" applyFont="1" applyBorder="1" applyAlignment="1">
      <alignment horizontal="center" vertical="top"/>
    </xf>
    <xf numFmtId="178" fontId="14" fillId="0" borderId="33" xfId="2" applyNumberFormat="1" applyFont="1" applyBorder="1" applyAlignment="1"/>
    <xf numFmtId="6" fontId="24" fillId="0" borderId="4" xfId="3" applyFont="1" applyBorder="1" applyAlignment="1"/>
    <xf numFmtId="6" fontId="24" fillId="0" borderId="11" xfId="3" applyFont="1" applyBorder="1" applyAlignment="1"/>
    <xf numFmtId="6" fontId="24" fillId="0" borderId="29" xfId="3" applyFont="1" applyBorder="1" applyAlignment="1"/>
    <xf numFmtId="6" fontId="24" fillId="0" borderId="1" xfId="3" applyFont="1" applyBorder="1" applyAlignment="1"/>
    <xf numFmtId="6" fontId="24" fillId="0" borderId="30" xfId="3" applyFont="1" applyBorder="1" applyAlignment="1"/>
    <xf numFmtId="0" fontId="14" fillId="0" borderId="6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/>
    </xf>
    <xf numFmtId="0" fontId="9" fillId="0" borderId="23" xfId="0" applyFont="1" applyBorder="1"/>
    <xf numFmtId="0" fontId="8" fillId="2" borderId="3" xfId="0" applyFont="1" applyFill="1" applyBorder="1" applyAlignment="1">
      <alignment horizontal="center" vertical="center" wrapText="1"/>
    </xf>
    <xf numFmtId="0" fontId="9" fillId="0" borderId="13" xfId="0" applyFont="1" applyBorder="1"/>
    <xf numFmtId="0" fontId="8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0" borderId="12" xfId="0" applyFont="1" applyBorder="1"/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0" borderId="18" xfId="0" applyFont="1" applyBorder="1"/>
    <xf numFmtId="0" fontId="12" fillId="2" borderId="12" xfId="0" applyFont="1" applyFill="1" applyBorder="1" applyAlignment="1">
      <alignment horizontal="left" vertical="center" wrapText="1"/>
    </xf>
    <xf numFmtId="0" fontId="13" fillId="0" borderId="0" xfId="0" applyFont="1"/>
    <xf numFmtId="0" fontId="14" fillId="0" borderId="19" xfId="0" applyFont="1" applyBorder="1"/>
    <xf numFmtId="0" fontId="8" fillId="2" borderId="7" xfId="0" applyFont="1" applyFill="1" applyBorder="1" applyAlignment="1">
      <alignment horizontal="center" vertical="center"/>
    </xf>
    <xf numFmtId="0" fontId="9" fillId="0" borderId="8" xfId="0" applyFont="1" applyBorder="1"/>
    <xf numFmtId="0" fontId="9" fillId="0" borderId="9" xfId="0" applyFont="1" applyBorder="1"/>
    <xf numFmtId="0" fontId="8" fillId="2" borderId="4" xfId="0" applyFont="1" applyFill="1" applyBorder="1" applyAlignment="1">
      <alignment horizontal="center" vertical="center"/>
    </xf>
    <xf numFmtId="38" fontId="2" fillId="0" borderId="2" xfId="2" applyFont="1" applyBorder="1" applyAlignment="1">
      <alignment horizontal="center" vertical="center"/>
    </xf>
    <xf numFmtId="38" fontId="9" fillId="0" borderId="29" xfId="2" applyFont="1" applyBorder="1" applyAlignment="1"/>
    <xf numFmtId="177" fontId="16" fillId="0" borderId="2" xfId="0" applyNumberFormat="1" applyFont="1" applyBorder="1" applyAlignment="1">
      <alignment horizontal="center" vertical="center"/>
    </xf>
    <xf numFmtId="177" fontId="23" fillId="0" borderId="4" xfId="0" applyNumberFormat="1" applyFont="1" applyBorder="1"/>
    <xf numFmtId="177" fontId="23" fillId="0" borderId="11" xfId="0" applyNumberFormat="1" applyFont="1" applyBorder="1"/>
    <xf numFmtId="177" fontId="23" fillId="0" borderId="29" xfId="0" applyNumberFormat="1" applyFont="1" applyBorder="1"/>
    <xf numFmtId="177" fontId="23" fillId="0" borderId="1" xfId="0" applyNumberFormat="1" applyFont="1" applyBorder="1"/>
    <xf numFmtId="177" fontId="23" fillId="0" borderId="30" xfId="0" applyNumberFormat="1" applyFont="1" applyBorder="1"/>
    <xf numFmtId="0" fontId="5" fillId="3" borderId="0" xfId="0" applyFont="1" applyFill="1" applyAlignment="1">
      <alignment vertical="center" shrinkToFit="1"/>
    </xf>
    <xf numFmtId="0" fontId="5" fillId="3" borderId="0" xfId="0" applyFont="1" applyFill="1" applyAlignment="1">
      <alignment horizontal="left" vertical="center" shrinkToFit="1"/>
    </xf>
    <xf numFmtId="6" fontId="12" fillId="0" borderId="2" xfId="3" applyFont="1" applyBorder="1" applyAlignment="1">
      <alignment horizontal="center" vertical="center"/>
    </xf>
    <xf numFmtId="6" fontId="12" fillId="0" borderId="5" xfId="3" applyFont="1" applyBorder="1" applyAlignment="1">
      <alignment horizontal="center" vertical="center"/>
    </xf>
    <xf numFmtId="6" fontId="12" fillId="0" borderId="29" xfId="3" applyFont="1" applyBorder="1" applyAlignment="1">
      <alignment horizontal="center" vertical="center"/>
    </xf>
    <xf numFmtId="6" fontId="12" fillId="0" borderId="37" xfId="3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</cellXfs>
  <cellStyles count="4">
    <cellStyle name="ハイパーリンク" xfId="1" builtinId="8"/>
    <cellStyle name="桁区切り" xfId="2" builtinId="6"/>
    <cellStyle name="通貨" xfId="3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126207</xdr:colOff>
      <xdr:row>9</xdr:row>
      <xdr:rowOff>180975</xdr:rowOff>
    </xdr:from>
    <xdr:ext cx="247650" cy="247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471863" y="2490788"/>
          <a:ext cx="247650" cy="247650"/>
        </a:xfrm>
        <a:prstGeom prst="ellipse">
          <a:avLst/>
        </a:prstGeom>
        <a:noFill/>
        <a:ln w="28575" cap="flat" cmpd="sng">
          <a:solidFill>
            <a:srgbClr val="66666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houmon@hannan-plage.j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ECB1-DD50-438C-A8D1-7DA749137CD8}">
  <sheetPr>
    <outlinePr summaryBelow="0" summaryRight="0"/>
    <pageSetUpPr fitToPage="1"/>
  </sheetPr>
  <dimension ref="A1:Q41"/>
  <sheetViews>
    <sheetView showGridLines="0" view="pageBreakPreview" zoomScale="80" zoomScaleNormal="80" zoomScaleSheetLayoutView="80" workbookViewId="0">
      <selection activeCell="E23" sqref="E23:E24"/>
    </sheetView>
  </sheetViews>
  <sheetFormatPr defaultColWidth="0" defaultRowHeight="15.75" customHeight="1" x14ac:dyDescent="0.3"/>
  <cols>
    <col min="1" max="1" width="3.88671875" style="4" customWidth="1"/>
    <col min="2" max="4" width="7.5546875" style="4" customWidth="1"/>
    <col min="5" max="5" width="13.44140625" style="4" bestFit="1" customWidth="1"/>
    <col min="6" max="10" width="9.6640625" style="4" customWidth="1"/>
    <col min="11" max="14" width="7.5546875" style="4" customWidth="1"/>
    <col min="15" max="17" width="3.88671875" style="4" customWidth="1"/>
    <col min="18" max="16384" width="12.5546875" style="4" hidden="1"/>
  </cols>
  <sheetData>
    <row r="1" spans="2:15" ht="15.75" customHeight="1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2:15" ht="15.75" customHeight="1" x14ac:dyDescent="0.3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5"/>
    </row>
    <row r="3" spans="2:15" ht="15.75" customHeight="1" x14ac:dyDescent="0.3">
      <c r="B3" s="38"/>
      <c r="C3" s="38"/>
      <c r="D3" s="38"/>
      <c r="E3" s="38"/>
      <c r="F3" s="38"/>
      <c r="G3" s="38"/>
      <c r="H3" s="38"/>
      <c r="I3" s="38"/>
      <c r="J3" s="5"/>
      <c r="K3" s="38"/>
      <c r="L3" s="39"/>
      <c r="M3" s="38"/>
      <c r="N3" s="5"/>
    </row>
    <row r="4" spans="2:15" ht="15.75" customHeight="1" x14ac:dyDescent="0.3">
      <c r="B4" s="38"/>
      <c r="C4" s="38"/>
      <c r="D4" s="38"/>
      <c r="E4" s="38"/>
      <c r="F4" s="38"/>
      <c r="G4" s="38"/>
      <c r="H4" s="38"/>
      <c r="I4" s="38"/>
      <c r="J4" s="5"/>
      <c r="K4" s="80" t="s">
        <v>61</v>
      </c>
      <c r="L4" s="81"/>
      <c r="M4" s="81"/>
      <c r="N4" s="81"/>
    </row>
    <row r="5" spans="2:15" ht="15.75" customHeight="1" x14ac:dyDescent="0.3">
      <c r="B5" s="38"/>
      <c r="C5" s="38"/>
      <c r="D5" s="38"/>
      <c r="E5" s="38"/>
      <c r="F5" s="38"/>
      <c r="G5" s="38"/>
      <c r="H5" s="38"/>
      <c r="I5" s="38"/>
      <c r="J5" s="5"/>
      <c r="K5" s="38"/>
      <c r="L5" s="38"/>
      <c r="M5" s="38"/>
      <c r="N5" s="5"/>
    </row>
    <row r="6" spans="2:15" ht="15.75" customHeight="1" x14ac:dyDescent="0.3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5"/>
    </row>
    <row r="7" spans="2:15" ht="15.75" customHeight="1" x14ac:dyDescent="0.3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5"/>
    </row>
    <row r="8" spans="2:15" ht="15.75" customHeight="1" x14ac:dyDescent="0.3">
      <c r="B8" s="82" t="s">
        <v>60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</row>
    <row r="9" spans="2:15" ht="15.7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</row>
    <row r="10" spans="2:15" ht="15.75" customHeight="1" x14ac:dyDescent="0.3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5"/>
    </row>
    <row r="11" spans="2:15" ht="15.75" customHeight="1" x14ac:dyDescent="0.3">
      <c r="B11" s="83" t="s">
        <v>63</v>
      </c>
      <c r="C11" s="81"/>
      <c r="D11" s="81"/>
      <c r="E11" s="81"/>
      <c r="F11" s="81"/>
      <c r="G11" s="85" t="s">
        <v>30</v>
      </c>
      <c r="H11" s="38"/>
      <c r="I11" s="38"/>
      <c r="J11" s="38"/>
      <c r="K11" s="38"/>
      <c r="L11" s="38"/>
      <c r="M11" s="38"/>
      <c r="N11" s="5"/>
    </row>
    <row r="12" spans="2:15" ht="15.75" customHeight="1" x14ac:dyDescent="0.3">
      <c r="B12" s="84"/>
      <c r="C12" s="84"/>
      <c r="D12" s="84"/>
      <c r="E12" s="84"/>
      <c r="F12" s="84"/>
      <c r="G12" s="84"/>
      <c r="H12" s="38"/>
      <c r="I12" s="38"/>
      <c r="J12" s="38"/>
      <c r="K12" s="69"/>
      <c r="L12" s="5"/>
      <c r="M12" s="5"/>
      <c r="N12" s="5"/>
    </row>
    <row r="13" spans="2:15" ht="15.75" customHeight="1" x14ac:dyDescent="0.3">
      <c r="B13" s="38"/>
      <c r="C13" s="38"/>
      <c r="D13" s="86"/>
      <c r="E13" s="81"/>
      <c r="F13" s="38"/>
      <c r="G13" s="38"/>
      <c r="H13" s="38"/>
      <c r="I13" s="38"/>
      <c r="J13" s="5"/>
      <c r="K13" s="87" t="s">
        <v>48</v>
      </c>
      <c r="L13" s="87"/>
      <c r="M13" s="87"/>
      <c r="N13" s="87"/>
      <c r="O13" s="87"/>
    </row>
    <row r="14" spans="2:15" ht="15.75" customHeight="1" x14ac:dyDescent="0.3">
      <c r="B14" s="38"/>
      <c r="C14" s="38"/>
      <c r="D14" s="38"/>
      <c r="E14" s="38"/>
      <c r="F14" s="38"/>
      <c r="G14" s="38"/>
      <c r="H14" s="38"/>
      <c r="I14" s="38"/>
      <c r="J14" s="5"/>
      <c r="K14" s="87" t="s">
        <v>49</v>
      </c>
      <c r="L14" s="87"/>
      <c r="M14" s="87"/>
      <c r="N14" s="87"/>
      <c r="O14" s="87"/>
    </row>
    <row r="15" spans="2:15" ht="15.75" customHeight="1" x14ac:dyDescent="0.3">
      <c r="B15" s="86" t="s">
        <v>32</v>
      </c>
      <c r="C15" s="81"/>
      <c r="D15" s="81"/>
      <c r="E15" s="81"/>
      <c r="F15" s="81"/>
      <c r="G15" s="81"/>
      <c r="H15" s="38"/>
      <c r="I15" s="38"/>
      <c r="J15" s="5"/>
      <c r="K15" s="90" t="s">
        <v>64</v>
      </c>
      <c r="L15" s="90"/>
      <c r="M15" s="90"/>
      <c r="N15" s="90"/>
      <c r="O15" s="90"/>
    </row>
    <row r="16" spans="2:15" ht="15.75" customHeight="1" x14ac:dyDescent="0.3">
      <c r="B16" s="91" t="s">
        <v>41</v>
      </c>
      <c r="C16" s="92"/>
      <c r="D16" s="95">
        <f>K33</f>
        <v>16500</v>
      </c>
      <c r="E16" s="96"/>
      <c r="F16" s="96"/>
      <c r="G16" s="97"/>
      <c r="H16" s="38"/>
      <c r="I16" s="38"/>
      <c r="J16" s="5"/>
      <c r="K16" s="90"/>
      <c r="L16" s="90"/>
      <c r="M16" s="90"/>
      <c r="N16" s="90"/>
      <c r="O16" s="90"/>
    </row>
    <row r="17" spans="2:14" ht="15.75" customHeight="1" x14ac:dyDescent="0.3">
      <c r="B17" s="93"/>
      <c r="C17" s="94"/>
      <c r="D17" s="98"/>
      <c r="E17" s="99"/>
      <c r="F17" s="99"/>
      <c r="G17" s="100"/>
      <c r="H17" s="38"/>
      <c r="I17" s="38"/>
      <c r="J17" s="5"/>
    </row>
    <row r="18" spans="2:14" ht="15.75" customHeight="1" x14ac:dyDescent="0.3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5"/>
    </row>
    <row r="19" spans="2:14" ht="15.75" customHeight="1" x14ac:dyDescent="0.3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5"/>
    </row>
    <row r="20" spans="2:14" ht="15.75" customHeight="1" x14ac:dyDescent="0.3">
      <c r="B20" s="101" t="s">
        <v>33</v>
      </c>
      <c r="C20" s="104" t="s">
        <v>34</v>
      </c>
      <c r="D20" s="107" t="s">
        <v>35</v>
      </c>
      <c r="E20" s="110" t="s">
        <v>15</v>
      </c>
      <c r="F20" s="112" t="s">
        <v>38</v>
      </c>
      <c r="G20" s="88" t="s">
        <v>16</v>
      </c>
      <c r="H20" s="112" t="s">
        <v>39</v>
      </c>
      <c r="I20" s="88" t="s">
        <v>17</v>
      </c>
      <c r="J20" s="129" t="s">
        <v>18</v>
      </c>
      <c r="K20" s="131" t="s">
        <v>36</v>
      </c>
      <c r="L20" s="132"/>
      <c r="M20" s="107" t="s">
        <v>14</v>
      </c>
      <c r="N20" s="137"/>
    </row>
    <row r="21" spans="2:14" ht="15.75" customHeight="1" x14ac:dyDescent="0.3">
      <c r="B21" s="102"/>
      <c r="C21" s="105"/>
      <c r="D21" s="108"/>
      <c r="E21" s="111"/>
      <c r="F21" s="113"/>
      <c r="G21" s="89"/>
      <c r="H21" s="113"/>
      <c r="I21" s="89"/>
      <c r="J21" s="130"/>
      <c r="K21" s="133"/>
      <c r="L21" s="134"/>
      <c r="M21" s="108"/>
      <c r="N21" s="138"/>
    </row>
    <row r="22" spans="2:14" ht="15.75" customHeight="1" x14ac:dyDescent="0.3">
      <c r="B22" s="103"/>
      <c r="C22" s="106"/>
      <c r="D22" s="109"/>
      <c r="E22" s="49">
        <v>2000</v>
      </c>
      <c r="F22" s="50">
        <v>4000</v>
      </c>
      <c r="G22" s="50">
        <v>5000</v>
      </c>
      <c r="H22" s="50">
        <v>5000</v>
      </c>
      <c r="I22" s="50">
        <v>1500</v>
      </c>
      <c r="J22" s="61">
        <v>1000</v>
      </c>
      <c r="K22" s="135"/>
      <c r="L22" s="136"/>
      <c r="M22" s="109"/>
      <c r="N22" s="139"/>
    </row>
    <row r="23" spans="2:14" ht="15.75" customHeight="1" x14ac:dyDescent="0.3">
      <c r="B23" s="114">
        <v>8</v>
      </c>
      <c r="C23" s="115">
        <v>25</v>
      </c>
      <c r="D23" s="116" t="s">
        <v>57</v>
      </c>
      <c r="E23" s="117">
        <v>30000</v>
      </c>
      <c r="F23" s="119">
        <v>0</v>
      </c>
      <c r="G23" s="119">
        <v>0</v>
      </c>
      <c r="H23" s="119">
        <v>0</v>
      </c>
      <c r="I23" s="119">
        <v>3000</v>
      </c>
      <c r="J23" s="140">
        <v>0</v>
      </c>
      <c r="K23" s="121">
        <f>SUM(E23:J24)</f>
        <v>33000</v>
      </c>
      <c r="L23" s="122"/>
      <c r="M23" s="125" t="s">
        <v>62</v>
      </c>
      <c r="N23" s="126"/>
    </row>
    <row r="24" spans="2:14" ht="15.75" customHeight="1" x14ac:dyDescent="0.3">
      <c r="B24" s="103"/>
      <c r="C24" s="106"/>
      <c r="D24" s="109"/>
      <c r="E24" s="118"/>
      <c r="F24" s="120"/>
      <c r="G24" s="120"/>
      <c r="H24" s="120"/>
      <c r="I24" s="120"/>
      <c r="J24" s="141"/>
      <c r="K24" s="123"/>
      <c r="L24" s="124"/>
      <c r="M24" s="127"/>
      <c r="N24" s="128"/>
    </row>
    <row r="25" spans="2:14" ht="15.75" customHeight="1" x14ac:dyDescent="0.3">
      <c r="B25" s="114"/>
      <c r="C25" s="115"/>
      <c r="D25" s="116"/>
      <c r="E25" s="114"/>
      <c r="F25" s="115"/>
      <c r="G25" s="115"/>
      <c r="H25" s="115"/>
      <c r="I25" s="115"/>
      <c r="J25" s="146"/>
      <c r="K25" s="148">
        <v>-16500</v>
      </c>
      <c r="L25" s="149"/>
      <c r="M25" s="152" t="s">
        <v>65</v>
      </c>
      <c r="N25" s="137"/>
    </row>
    <row r="26" spans="2:14" ht="15.75" customHeight="1" x14ac:dyDescent="0.3">
      <c r="B26" s="103"/>
      <c r="C26" s="106"/>
      <c r="D26" s="109"/>
      <c r="E26" s="103"/>
      <c r="F26" s="106"/>
      <c r="G26" s="106"/>
      <c r="H26" s="106"/>
      <c r="I26" s="106"/>
      <c r="J26" s="147"/>
      <c r="K26" s="150"/>
      <c r="L26" s="151"/>
      <c r="M26" s="109"/>
      <c r="N26" s="139"/>
    </row>
    <row r="27" spans="2:14" ht="15.75" customHeight="1" x14ac:dyDescent="0.3">
      <c r="B27" s="114"/>
      <c r="C27" s="115"/>
      <c r="D27" s="116"/>
      <c r="E27" s="114"/>
      <c r="F27" s="115"/>
      <c r="G27" s="115"/>
      <c r="H27" s="115"/>
      <c r="I27" s="115"/>
      <c r="J27" s="146"/>
      <c r="K27" s="142"/>
      <c r="L27" s="143"/>
      <c r="M27" s="116"/>
      <c r="N27" s="137"/>
    </row>
    <row r="28" spans="2:14" ht="15.75" customHeight="1" x14ac:dyDescent="0.3">
      <c r="B28" s="103"/>
      <c r="C28" s="106"/>
      <c r="D28" s="109"/>
      <c r="E28" s="103"/>
      <c r="F28" s="106"/>
      <c r="G28" s="106"/>
      <c r="H28" s="106"/>
      <c r="I28" s="106"/>
      <c r="J28" s="147"/>
      <c r="K28" s="144"/>
      <c r="L28" s="145"/>
      <c r="M28" s="109"/>
      <c r="N28" s="139"/>
    </row>
    <row r="29" spans="2:14" ht="15.75" customHeight="1" x14ac:dyDescent="0.3">
      <c r="B29" s="114"/>
      <c r="C29" s="115"/>
      <c r="D29" s="116"/>
      <c r="E29" s="114"/>
      <c r="F29" s="115"/>
      <c r="G29" s="115"/>
      <c r="H29" s="115"/>
      <c r="I29" s="115"/>
      <c r="J29" s="146"/>
      <c r="K29" s="142"/>
      <c r="L29" s="143"/>
      <c r="M29" s="116"/>
      <c r="N29" s="137"/>
    </row>
    <row r="30" spans="2:14" ht="15.75" customHeight="1" x14ac:dyDescent="0.3">
      <c r="B30" s="103"/>
      <c r="C30" s="106"/>
      <c r="D30" s="109"/>
      <c r="E30" s="103"/>
      <c r="F30" s="106"/>
      <c r="G30" s="106"/>
      <c r="H30" s="106"/>
      <c r="I30" s="106"/>
      <c r="J30" s="147"/>
      <c r="K30" s="144"/>
      <c r="L30" s="145"/>
      <c r="M30" s="109"/>
      <c r="N30" s="139"/>
    </row>
    <row r="31" spans="2:14" ht="15.75" customHeight="1" x14ac:dyDescent="0.3">
      <c r="B31" s="114"/>
      <c r="C31" s="115"/>
      <c r="D31" s="116"/>
      <c r="E31" s="114"/>
      <c r="F31" s="115"/>
      <c r="G31" s="115"/>
      <c r="H31" s="115"/>
      <c r="I31" s="115"/>
      <c r="J31" s="146"/>
      <c r="K31" s="160"/>
      <c r="L31" s="143"/>
      <c r="M31" s="161"/>
      <c r="N31" s="162"/>
    </row>
    <row r="32" spans="2:14" ht="15.75" customHeight="1" x14ac:dyDescent="0.3">
      <c r="B32" s="103"/>
      <c r="C32" s="106"/>
      <c r="D32" s="109"/>
      <c r="E32" s="103"/>
      <c r="F32" s="106"/>
      <c r="G32" s="106"/>
      <c r="H32" s="106"/>
      <c r="I32" s="106"/>
      <c r="J32" s="147"/>
      <c r="K32" s="144"/>
      <c r="L32" s="145"/>
      <c r="M32" s="163"/>
      <c r="N32" s="164"/>
    </row>
    <row r="33" spans="1:17" ht="15.75" customHeight="1" x14ac:dyDescent="0.3">
      <c r="B33" s="153" t="s">
        <v>47</v>
      </c>
      <c r="C33" s="154"/>
      <c r="D33" s="154"/>
      <c r="E33" s="154"/>
      <c r="F33" s="154"/>
      <c r="G33" s="154"/>
      <c r="H33" s="154"/>
      <c r="I33" s="154"/>
      <c r="J33" s="132"/>
      <c r="K33" s="155">
        <f>SUM(K23:L32)</f>
        <v>16500</v>
      </c>
      <c r="L33" s="156"/>
      <c r="M33" s="159"/>
      <c r="N33" s="137"/>
    </row>
    <row r="34" spans="1:17" ht="15.75" customHeight="1" x14ac:dyDescent="0.3">
      <c r="B34" s="135"/>
      <c r="C34" s="84"/>
      <c r="D34" s="84"/>
      <c r="E34" s="84"/>
      <c r="F34" s="84"/>
      <c r="G34" s="84"/>
      <c r="H34" s="84"/>
      <c r="I34" s="84"/>
      <c r="J34" s="136"/>
      <c r="K34" s="157"/>
      <c r="L34" s="158"/>
      <c r="M34" s="109"/>
      <c r="N34" s="139"/>
    </row>
    <row r="36" spans="1:17" ht="15.75" customHeight="1" x14ac:dyDescent="0.3">
      <c r="K36" s="70"/>
      <c r="L36" s="38"/>
      <c r="M36" s="38"/>
      <c r="N36" s="5"/>
    </row>
    <row r="37" spans="1:17" ht="15.75" customHeight="1" x14ac:dyDescent="0.3">
      <c r="A37" s="41"/>
      <c r="G37" s="41"/>
      <c r="H37" s="41"/>
      <c r="I37" s="41"/>
      <c r="K37" s="71" t="s">
        <v>53</v>
      </c>
      <c r="L37" s="72" t="s">
        <v>54</v>
      </c>
      <c r="M37" s="72"/>
      <c r="N37" s="72"/>
      <c r="O37" s="73"/>
      <c r="P37" s="41"/>
      <c r="Q37" s="41"/>
    </row>
    <row r="38" spans="1:17" ht="15.75" customHeight="1" x14ac:dyDescent="0.3">
      <c r="A38" s="41"/>
      <c r="G38" s="41"/>
      <c r="H38" s="41"/>
      <c r="I38" s="41"/>
      <c r="K38" s="74"/>
      <c r="L38" s="75" t="s">
        <v>55</v>
      </c>
      <c r="M38" s="75"/>
      <c r="N38" s="75"/>
      <c r="O38" s="76"/>
      <c r="P38" s="41"/>
      <c r="Q38" s="41"/>
    </row>
    <row r="39" spans="1:17" ht="15.75" customHeight="1" x14ac:dyDescent="0.3">
      <c r="A39" s="41"/>
      <c r="G39" s="41"/>
      <c r="H39" s="41"/>
      <c r="I39" s="41"/>
      <c r="K39" s="77" t="s">
        <v>37</v>
      </c>
      <c r="L39" s="78" t="s">
        <v>56</v>
      </c>
      <c r="M39" s="78"/>
      <c r="N39" s="78"/>
      <c r="O39" s="79"/>
      <c r="P39" s="41"/>
      <c r="Q39" s="41"/>
    </row>
    <row r="41" spans="1:17" ht="15.75" customHeight="1" x14ac:dyDescent="0.3">
      <c r="H41" s="38"/>
      <c r="I41" s="38"/>
      <c r="J41" s="38"/>
      <c r="K41" s="38"/>
      <c r="L41" s="38"/>
      <c r="M41" s="38"/>
      <c r="N41" s="5"/>
    </row>
  </sheetData>
  <mergeCells count="81">
    <mergeCell ref="K29:L30"/>
    <mergeCell ref="M29:N30"/>
    <mergeCell ref="B33:J34"/>
    <mergeCell ref="K33:L34"/>
    <mergeCell ref="M33:N34"/>
    <mergeCell ref="G31:G32"/>
    <mergeCell ref="H31:H32"/>
    <mergeCell ref="I31:I32"/>
    <mergeCell ref="J31:J32"/>
    <mergeCell ref="K31:L32"/>
    <mergeCell ref="M31:N32"/>
    <mergeCell ref="B31:B32"/>
    <mergeCell ref="C31:C32"/>
    <mergeCell ref="D31:D32"/>
    <mergeCell ref="E31:E32"/>
    <mergeCell ref="F31:F32"/>
    <mergeCell ref="B29:B30"/>
    <mergeCell ref="C29:C30"/>
    <mergeCell ref="D29:D30"/>
    <mergeCell ref="E29:E30"/>
    <mergeCell ref="F29:F30"/>
    <mergeCell ref="G29:G30"/>
    <mergeCell ref="G27:G28"/>
    <mergeCell ref="H27:H28"/>
    <mergeCell ref="I27:I28"/>
    <mergeCell ref="J27:J28"/>
    <mergeCell ref="H29:H30"/>
    <mergeCell ref="I29:I30"/>
    <mergeCell ref="J29:J30"/>
    <mergeCell ref="K27:L28"/>
    <mergeCell ref="M27:N28"/>
    <mergeCell ref="H25:H26"/>
    <mergeCell ref="I25:I26"/>
    <mergeCell ref="J25:J26"/>
    <mergeCell ref="K25:L26"/>
    <mergeCell ref="M25:N26"/>
    <mergeCell ref="B27:B28"/>
    <mergeCell ref="C27:C28"/>
    <mergeCell ref="D27:D28"/>
    <mergeCell ref="E27:E28"/>
    <mergeCell ref="F27:F28"/>
    <mergeCell ref="B25:B26"/>
    <mergeCell ref="C25:C26"/>
    <mergeCell ref="D25:D26"/>
    <mergeCell ref="E25:E26"/>
    <mergeCell ref="F25:F26"/>
    <mergeCell ref="G25:G26"/>
    <mergeCell ref="G23:G24"/>
    <mergeCell ref="H23:H24"/>
    <mergeCell ref="I23:I24"/>
    <mergeCell ref="J23:J24"/>
    <mergeCell ref="K23:L24"/>
    <mergeCell ref="M23:N24"/>
    <mergeCell ref="H20:H21"/>
    <mergeCell ref="I20:I21"/>
    <mergeCell ref="J20:J21"/>
    <mergeCell ref="K20:L22"/>
    <mergeCell ref="M20:N22"/>
    <mergeCell ref="B23:B24"/>
    <mergeCell ref="C23:C24"/>
    <mergeCell ref="D23:D24"/>
    <mergeCell ref="E23:E24"/>
    <mergeCell ref="F23:F24"/>
    <mergeCell ref="G20:G21"/>
    <mergeCell ref="K14:O14"/>
    <mergeCell ref="B15:G15"/>
    <mergeCell ref="K15:O15"/>
    <mergeCell ref="B16:C17"/>
    <mergeCell ref="D16:G17"/>
    <mergeCell ref="K16:O16"/>
    <mergeCell ref="B20:B22"/>
    <mergeCell ref="C20:C22"/>
    <mergeCell ref="D20:D22"/>
    <mergeCell ref="E20:E21"/>
    <mergeCell ref="F20:F21"/>
    <mergeCell ref="K4:N4"/>
    <mergeCell ref="B8:N9"/>
    <mergeCell ref="B11:F12"/>
    <mergeCell ref="G11:G12"/>
    <mergeCell ref="D13:E13"/>
    <mergeCell ref="K13:O13"/>
  </mergeCells>
  <phoneticPr fontId="1"/>
  <printOptions horizontalCentered="1"/>
  <pageMargins left="0" right="0.23622047244094491" top="0.74803149606299213" bottom="0.74803149606299213" header="0" footer="0"/>
  <pageSetup paperSize="9" scale="80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1399-E56B-4EA6-84C6-390E1CFC66EE}">
  <sheetPr>
    <outlinePr summaryBelow="0" summaryRight="0"/>
    <pageSetUpPr fitToPage="1"/>
  </sheetPr>
  <dimension ref="A1:Q41"/>
  <sheetViews>
    <sheetView showGridLines="0" view="pageBreakPreview" zoomScale="80" zoomScaleNormal="80" zoomScaleSheetLayoutView="80" workbookViewId="0">
      <selection activeCell="B11" sqref="B11:F12"/>
    </sheetView>
  </sheetViews>
  <sheetFormatPr defaultColWidth="0" defaultRowHeight="15.75" customHeight="1" x14ac:dyDescent="0.3"/>
  <cols>
    <col min="1" max="1" width="3.88671875" style="4" customWidth="1"/>
    <col min="2" max="4" width="7.5546875" style="4" customWidth="1"/>
    <col min="5" max="5" width="13.44140625" style="4" bestFit="1" customWidth="1"/>
    <col min="6" max="10" width="9.6640625" style="4" customWidth="1"/>
    <col min="11" max="14" width="7.5546875" style="4" customWidth="1"/>
    <col min="15" max="17" width="3.88671875" style="4" customWidth="1"/>
    <col min="18" max="16384" width="12.5546875" style="4" hidden="1"/>
  </cols>
  <sheetData>
    <row r="1" spans="2:15" ht="15.75" customHeight="1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2:15" ht="15.75" customHeight="1" x14ac:dyDescent="0.3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5"/>
    </row>
    <row r="3" spans="2:15" ht="15.75" customHeight="1" x14ac:dyDescent="0.3">
      <c r="B3" s="38"/>
      <c r="C3" s="38"/>
      <c r="D3" s="38"/>
      <c r="E3" s="38"/>
      <c r="F3" s="38"/>
      <c r="G3" s="38"/>
      <c r="H3" s="38"/>
      <c r="I3" s="38"/>
      <c r="J3" s="5"/>
      <c r="K3" s="38"/>
      <c r="L3" s="39"/>
      <c r="M3" s="38"/>
      <c r="N3" s="5"/>
    </row>
    <row r="4" spans="2:15" ht="15.75" customHeight="1" x14ac:dyDescent="0.3">
      <c r="B4" s="38"/>
      <c r="C4" s="38"/>
      <c r="D4" s="38"/>
      <c r="E4" s="38"/>
      <c r="F4" s="38"/>
      <c r="G4" s="38"/>
      <c r="H4" s="38"/>
      <c r="I4" s="38"/>
      <c r="J4" s="5"/>
      <c r="K4" s="80" t="s">
        <v>67</v>
      </c>
      <c r="L4" s="81"/>
      <c r="M4" s="81"/>
      <c r="N4" s="81"/>
    </row>
    <row r="5" spans="2:15" ht="15.75" customHeight="1" x14ac:dyDescent="0.3">
      <c r="B5" s="38"/>
      <c r="C5" s="38"/>
      <c r="D5" s="38"/>
      <c r="E5" s="38"/>
      <c r="F5" s="38"/>
      <c r="G5" s="38"/>
      <c r="H5" s="38"/>
      <c r="I5" s="38"/>
      <c r="J5" s="5"/>
      <c r="K5" s="38"/>
      <c r="L5" s="38"/>
      <c r="M5" s="38"/>
      <c r="N5" s="5"/>
    </row>
    <row r="6" spans="2:15" ht="15.75" customHeight="1" x14ac:dyDescent="0.3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5"/>
    </row>
    <row r="7" spans="2:15" ht="15.75" customHeight="1" x14ac:dyDescent="0.3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5"/>
    </row>
    <row r="8" spans="2:15" ht="15.75" customHeight="1" x14ac:dyDescent="0.3">
      <c r="B8" s="82" t="s">
        <v>66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</row>
    <row r="9" spans="2:15" ht="15.7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</row>
    <row r="10" spans="2:15" ht="15.75" customHeight="1" x14ac:dyDescent="0.3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5"/>
    </row>
    <row r="11" spans="2:15" ht="15.75" customHeight="1" x14ac:dyDescent="0.3">
      <c r="B11" s="83" t="s">
        <v>63</v>
      </c>
      <c r="C11" s="81"/>
      <c r="D11" s="81"/>
      <c r="E11" s="81"/>
      <c r="F11" s="81"/>
      <c r="G11" s="85" t="s">
        <v>30</v>
      </c>
      <c r="H11" s="38"/>
      <c r="I11" s="38"/>
      <c r="J11" s="38"/>
      <c r="K11" s="38"/>
      <c r="L11" s="38"/>
      <c r="M11" s="38"/>
      <c r="N11" s="5"/>
    </row>
    <row r="12" spans="2:15" ht="15.75" customHeight="1" x14ac:dyDescent="0.3">
      <c r="B12" s="84"/>
      <c r="C12" s="84"/>
      <c r="D12" s="84"/>
      <c r="E12" s="84"/>
      <c r="F12" s="84"/>
      <c r="G12" s="84"/>
      <c r="H12" s="38"/>
      <c r="I12" s="38"/>
      <c r="J12" s="38"/>
      <c r="K12" s="69"/>
      <c r="L12" s="5"/>
      <c r="M12" s="5"/>
      <c r="N12" s="5"/>
    </row>
    <row r="13" spans="2:15" ht="15.75" customHeight="1" x14ac:dyDescent="0.3">
      <c r="B13" s="38"/>
      <c r="C13" s="38"/>
      <c r="D13" s="86"/>
      <c r="E13" s="81"/>
      <c r="F13" s="38"/>
      <c r="G13" s="38"/>
      <c r="H13" s="38"/>
      <c r="I13" s="38"/>
      <c r="J13" s="5"/>
      <c r="K13" s="87" t="s">
        <v>48</v>
      </c>
      <c r="L13" s="87"/>
      <c r="M13" s="87"/>
      <c r="N13" s="87"/>
      <c r="O13" s="87"/>
    </row>
    <row r="14" spans="2:15" ht="15.75" customHeight="1" x14ac:dyDescent="0.3">
      <c r="B14" s="38"/>
      <c r="C14" s="38"/>
      <c r="D14" s="38"/>
      <c r="E14" s="38"/>
      <c r="F14" s="38"/>
      <c r="G14" s="38"/>
      <c r="H14" s="38"/>
      <c r="I14" s="38"/>
      <c r="J14" s="5"/>
      <c r="K14" s="87" t="s">
        <v>49</v>
      </c>
      <c r="L14" s="87"/>
      <c r="M14" s="87"/>
      <c r="N14" s="87"/>
      <c r="O14" s="87"/>
    </row>
    <row r="15" spans="2:15" ht="15.75" customHeight="1" x14ac:dyDescent="0.3">
      <c r="B15" s="86" t="s">
        <v>32</v>
      </c>
      <c r="C15" s="81"/>
      <c r="D15" s="81"/>
      <c r="E15" s="81"/>
      <c r="F15" s="81"/>
      <c r="G15" s="81"/>
      <c r="H15" s="38"/>
      <c r="I15" s="38"/>
      <c r="J15" s="5"/>
      <c r="K15" s="90" t="s">
        <v>64</v>
      </c>
      <c r="L15" s="90"/>
      <c r="M15" s="90"/>
      <c r="N15" s="90"/>
      <c r="O15" s="90"/>
    </row>
    <row r="16" spans="2:15" ht="15.75" customHeight="1" x14ac:dyDescent="0.3">
      <c r="B16" s="91" t="s">
        <v>41</v>
      </c>
      <c r="C16" s="92"/>
      <c r="D16" s="155">
        <f>K33</f>
        <v>24250</v>
      </c>
      <c r="E16" s="182"/>
      <c r="F16" s="182"/>
      <c r="G16" s="183"/>
      <c r="H16" s="38"/>
      <c r="I16" s="38"/>
      <c r="J16" s="5"/>
      <c r="K16" s="90"/>
      <c r="L16" s="90"/>
      <c r="M16" s="90"/>
      <c r="N16" s="90"/>
      <c r="O16" s="90"/>
    </row>
    <row r="17" spans="2:14" ht="15.75" customHeight="1" x14ac:dyDescent="0.3">
      <c r="B17" s="93"/>
      <c r="C17" s="94"/>
      <c r="D17" s="184"/>
      <c r="E17" s="185"/>
      <c r="F17" s="185"/>
      <c r="G17" s="186"/>
      <c r="H17" s="38"/>
      <c r="I17" s="38"/>
      <c r="J17" s="5"/>
    </row>
    <row r="18" spans="2:14" ht="15.75" customHeight="1" x14ac:dyDescent="0.3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5"/>
    </row>
    <row r="19" spans="2:14" ht="15.75" customHeight="1" x14ac:dyDescent="0.3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5"/>
    </row>
    <row r="20" spans="2:14" ht="15.75" customHeight="1" x14ac:dyDescent="0.3">
      <c r="B20" s="101" t="s">
        <v>33</v>
      </c>
      <c r="C20" s="104" t="s">
        <v>34</v>
      </c>
      <c r="D20" s="107" t="s">
        <v>35</v>
      </c>
      <c r="E20" s="110" t="s">
        <v>15</v>
      </c>
      <c r="F20" s="112" t="s">
        <v>38</v>
      </c>
      <c r="G20" s="88" t="s">
        <v>16</v>
      </c>
      <c r="H20" s="112" t="s">
        <v>39</v>
      </c>
      <c r="I20" s="88" t="s">
        <v>17</v>
      </c>
      <c r="J20" s="129" t="s">
        <v>18</v>
      </c>
      <c r="K20" s="131" t="s">
        <v>36</v>
      </c>
      <c r="L20" s="132"/>
      <c r="M20" s="107" t="s">
        <v>14</v>
      </c>
      <c r="N20" s="137"/>
    </row>
    <row r="21" spans="2:14" ht="15.75" customHeight="1" x14ac:dyDescent="0.3">
      <c r="B21" s="102"/>
      <c r="C21" s="105"/>
      <c r="D21" s="108"/>
      <c r="E21" s="111"/>
      <c r="F21" s="113"/>
      <c r="G21" s="89"/>
      <c r="H21" s="113"/>
      <c r="I21" s="89"/>
      <c r="J21" s="130"/>
      <c r="K21" s="133"/>
      <c r="L21" s="134"/>
      <c r="M21" s="108"/>
      <c r="N21" s="138"/>
    </row>
    <row r="22" spans="2:14" ht="15.75" customHeight="1" x14ac:dyDescent="0.3">
      <c r="B22" s="103"/>
      <c r="C22" s="106"/>
      <c r="D22" s="109"/>
      <c r="E22" s="49">
        <v>2000</v>
      </c>
      <c r="F22" s="50">
        <v>4000</v>
      </c>
      <c r="G22" s="50">
        <v>5000</v>
      </c>
      <c r="H22" s="50">
        <v>5000</v>
      </c>
      <c r="I22" s="50">
        <v>1500</v>
      </c>
      <c r="J22" s="61">
        <v>1000</v>
      </c>
      <c r="K22" s="135"/>
      <c r="L22" s="136"/>
      <c r="M22" s="109"/>
      <c r="N22" s="139"/>
    </row>
    <row r="23" spans="2:14" ht="32.4" customHeight="1" x14ac:dyDescent="0.3">
      <c r="B23" s="114">
        <v>9</v>
      </c>
      <c r="C23" s="115">
        <v>29</v>
      </c>
      <c r="D23" s="116" t="s">
        <v>57</v>
      </c>
      <c r="E23" s="117">
        <v>34000</v>
      </c>
      <c r="F23" s="119">
        <v>4000</v>
      </c>
      <c r="G23" s="119">
        <v>0</v>
      </c>
      <c r="H23" s="119">
        <v>0</v>
      </c>
      <c r="I23" s="119">
        <v>7500</v>
      </c>
      <c r="J23" s="140">
        <v>3000</v>
      </c>
      <c r="K23" s="121">
        <f>SUM(E23:J24)</f>
        <v>48500</v>
      </c>
      <c r="L23" s="174"/>
      <c r="M23" s="177" t="s">
        <v>68</v>
      </c>
      <c r="N23" s="178"/>
    </row>
    <row r="24" spans="2:14" ht="32.4" customHeight="1" x14ac:dyDescent="0.3">
      <c r="B24" s="170"/>
      <c r="C24" s="165"/>
      <c r="D24" s="171"/>
      <c r="E24" s="181"/>
      <c r="F24" s="172"/>
      <c r="G24" s="172"/>
      <c r="H24" s="172"/>
      <c r="I24" s="172"/>
      <c r="J24" s="173"/>
      <c r="K24" s="175"/>
      <c r="L24" s="176"/>
      <c r="M24" s="179"/>
      <c r="N24" s="180"/>
    </row>
    <row r="25" spans="2:14" ht="32.4" customHeight="1" x14ac:dyDescent="0.3">
      <c r="B25" s="114"/>
      <c r="C25" s="115"/>
      <c r="D25" s="116"/>
      <c r="E25" s="114"/>
      <c r="F25" s="115"/>
      <c r="G25" s="115"/>
      <c r="H25" s="115"/>
      <c r="I25" s="115"/>
      <c r="J25" s="146"/>
      <c r="K25" s="148">
        <v>-24250</v>
      </c>
      <c r="L25" s="167"/>
      <c r="M25" s="152" t="s">
        <v>65</v>
      </c>
      <c r="N25" s="137"/>
    </row>
    <row r="26" spans="2:14" ht="32.4" customHeight="1" x14ac:dyDescent="0.3">
      <c r="B26" s="170"/>
      <c r="C26" s="165"/>
      <c r="D26" s="171"/>
      <c r="E26" s="170"/>
      <c r="F26" s="165"/>
      <c r="G26" s="165"/>
      <c r="H26" s="165"/>
      <c r="I26" s="165"/>
      <c r="J26" s="166"/>
      <c r="K26" s="168"/>
      <c r="L26" s="169"/>
      <c r="M26" s="109"/>
      <c r="N26" s="139"/>
    </row>
    <row r="27" spans="2:14" ht="32.4" customHeight="1" x14ac:dyDescent="0.3">
      <c r="B27" s="114"/>
      <c r="C27" s="115"/>
      <c r="D27" s="116"/>
      <c r="E27" s="114"/>
      <c r="F27" s="115"/>
      <c r="G27" s="115"/>
      <c r="H27" s="115"/>
      <c r="I27" s="115"/>
      <c r="J27" s="146"/>
      <c r="K27" s="142"/>
      <c r="L27" s="143"/>
      <c r="M27" s="116"/>
      <c r="N27" s="137"/>
    </row>
    <row r="28" spans="2:14" ht="32.4" customHeight="1" x14ac:dyDescent="0.3">
      <c r="B28" s="103"/>
      <c r="C28" s="106"/>
      <c r="D28" s="109"/>
      <c r="E28" s="103"/>
      <c r="F28" s="106"/>
      <c r="G28" s="106"/>
      <c r="H28" s="106"/>
      <c r="I28" s="106"/>
      <c r="J28" s="147"/>
      <c r="K28" s="144"/>
      <c r="L28" s="145"/>
      <c r="M28" s="109"/>
      <c r="N28" s="139"/>
    </row>
    <row r="29" spans="2:14" ht="32.4" customHeight="1" x14ac:dyDescent="0.3">
      <c r="B29" s="114"/>
      <c r="C29" s="115"/>
      <c r="D29" s="116"/>
      <c r="E29" s="114"/>
      <c r="F29" s="115"/>
      <c r="G29" s="115"/>
      <c r="H29" s="115"/>
      <c r="I29" s="115"/>
      <c r="J29" s="146"/>
      <c r="K29" s="142"/>
      <c r="L29" s="143"/>
      <c r="M29" s="116"/>
      <c r="N29" s="137"/>
    </row>
    <row r="30" spans="2:14" ht="32.4" customHeight="1" x14ac:dyDescent="0.3">
      <c r="B30" s="103"/>
      <c r="C30" s="106"/>
      <c r="D30" s="109"/>
      <c r="E30" s="103"/>
      <c r="F30" s="106"/>
      <c r="G30" s="106"/>
      <c r="H30" s="106"/>
      <c r="I30" s="106"/>
      <c r="J30" s="147"/>
      <c r="K30" s="144"/>
      <c r="L30" s="145"/>
      <c r="M30" s="109"/>
      <c r="N30" s="139"/>
    </row>
    <row r="31" spans="2:14" ht="32.4" customHeight="1" x14ac:dyDescent="0.3">
      <c r="B31" s="114"/>
      <c r="C31" s="115"/>
      <c r="D31" s="116"/>
      <c r="E31" s="114"/>
      <c r="F31" s="115"/>
      <c r="G31" s="115"/>
      <c r="H31" s="115"/>
      <c r="I31" s="115"/>
      <c r="J31" s="146"/>
      <c r="K31" s="160"/>
      <c r="L31" s="143"/>
      <c r="M31" s="161"/>
      <c r="N31" s="162"/>
    </row>
    <row r="32" spans="2:14" ht="32.4" customHeight="1" x14ac:dyDescent="0.3">
      <c r="B32" s="103"/>
      <c r="C32" s="106"/>
      <c r="D32" s="109"/>
      <c r="E32" s="103"/>
      <c r="F32" s="106"/>
      <c r="G32" s="106"/>
      <c r="H32" s="106"/>
      <c r="I32" s="106"/>
      <c r="J32" s="147"/>
      <c r="K32" s="144"/>
      <c r="L32" s="145"/>
      <c r="M32" s="163"/>
      <c r="N32" s="164"/>
    </row>
    <row r="33" spans="1:17" ht="32.4" customHeight="1" x14ac:dyDescent="0.3">
      <c r="B33" s="153" t="s">
        <v>47</v>
      </c>
      <c r="C33" s="154"/>
      <c r="D33" s="154"/>
      <c r="E33" s="154"/>
      <c r="F33" s="154"/>
      <c r="G33" s="154"/>
      <c r="H33" s="154"/>
      <c r="I33" s="154"/>
      <c r="J33" s="132"/>
      <c r="K33" s="155">
        <f>SUM(K23:L32)</f>
        <v>24250</v>
      </c>
      <c r="L33" s="156"/>
      <c r="M33" s="159"/>
      <c r="N33" s="137"/>
    </row>
    <row r="34" spans="1:17" ht="32.4" customHeight="1" x14ac:dyDescent="0.3">
      <c r="B34" s="135"/>
      <c r="C34" s="84"/>
      <c r="D34" s="84"/>
      <c r="E34" s="84"/>
      <c r="F34" s="84"/>
      <c r="G34" s="84"/>
      <c r="H34" s="84"/>
      <c r="I34" s="84"/>
      <c r="J34" s="136"/>
      <c r="K34" s="157"/>
      <c r="L34" s="158"/>
      <c r="M34" s="109"/>
      <c r="N34" s="139"/>
    </row>
    <row r="36" spans="1:17" ht="15.75" customHeight="1" x14ac:dyDescent="0.3">
      <c r="K36" s="70"/>
      <c r="L36" s="38"/>
      <c r="M36" s="38"/>
      <c r="N36" s="5"/>
    </row>
    <row r="37" spans="1:17" ht="15.75" customHeight="1" x14ac:dyDescent="0.3">
      <c r="A37" s="41"/>
      <c r="G37" s="41"/>
      <c r="H37" s="41"/>
      <c r="I37" s="41"/>
      <c r="K37" s="71" t="s">
        <v>53</v>
      </c>
      <c r="L37" s="72" t="s">
        <v>54</v>
      </c>
      <c r="M37" s="72"/>
      <c r="N37" s="72"/>
      <c r="O37" s="73"/>
      <c r="P37" s="41"/>
      <c r="Q37" s="41"/>
    </row>
    <row r="38" spans="1:17" ht="15.75" customHeight="1" x14ac:dyDescent="0.3">
      <c r="A38" s="41"/>
      <c r="G38" s="41"/>
      <c r="H38" s="41"/>
      <c r="I38" s="41"/>
      <c r="K38" s="74"/>
      <c r="L38" s="75" t="s">
        <v>55</v>
      </c>
      <c r="M38" s="75"/>
      <c r="N38" s="75"/>
      <c r="O38" s="76"/>
      <c r="P38" s="41"/>
      <c r="Q38" s="41"/>
    </row>
    <row r="39" spans="1:17" ht="15.75" customHeight="1" x14ac:dyDescent="0.3">
      <c r="A39" s="41"/>
      <c r="G39" s="41"/>
      <c r="H39" s="41"/>
      <c r="I39" s="41"/>
      <c r="K39" s="77" t="s">
        <v>37</v>
      </c>
      <c r="L39" s="78" t="s">
        <v>56</v>
      </c>
      <c r="M39" s="78"/>
      <c r="N39" s="78"/>
      <c r="O39" s="79"/>
      <c r="P39" s="41"/>
      <c r="Q39" s="41"/>
    </row>
    <row r="41" spans="1:17" ht="15.75" customHeight="1" x14ac:dyDescent="0.3">
      <c r="H41" s="38"/>
      <c r="I41" s="38"/>
      <c r="J41" s="38"/>
      <c r="K41" s="38"/>
      <c r="L41" s="38"/>
      <c r="M41" s="38"/>
      <c r="N41" s="5"/>
    </row>
  </sheetData>
  <mergeCells count="81">
    <mergeCell ref="K4:N4"/>
    <mergeCell ref="B8:N9"/>
    <mergeCell ref="B11:F12"/>
    <mergeCell ref="G11:G12"/>
    <mergeCell ref="D13:E13"/>
    <mergeCell ref="K13:O13"/>
    <mergeCell ref="G20:G21"/>
    <mergeCell ref="K14:O14"/>
    <mergeCell ref="B15:G15"/>
    <mergeCell ref="K15:O15"/>
    <mergeCell ref="B16:C17"/>
    <mergeCell ref="D16:G17"/>
    <mergeCell ref="K16:O16"/>
    <mergeCell ref="B20:B22"/>
    <mergeCell ref="C20:C22"/>
    <mergeCell ref="D20:D22"/>
    <mergeCell ref="E20:E21"/>
    <mergeCell ref="F20:F21"/>
    <mergeCell ref="B23:B24"/>
    <mergeCell ref="C23:C24"/>
    <mergeCell ref="D23:D24"/>
    <mergeCell ref="E23:E24"/>
    <mergeCell ref="F23:F24"/>
    <mergeCell ref="K23:L24"/>
    <mergeCell ref="M23:N24"/>
    <mergeCell ref="H20:H21"/>
    <mergeCell ref="I20:I21"/>
    <mergeCell ref="J20:J21"/>
    <mergeCell ref="K20:L22"/>
    <mergeCell ref="M20:N22"/>
    <mergeCell ref="G25:G26"/>
    <mergeCell ref="G23:G24"/>
    <mergeCell ref="H23:H24"/>
    <mergeCell ref="I23:I24"/>
    <mergeCell ref="J23:J24"/>
    <mergeCell ref="B25:B26"/>
    <mergeCell ref="C25:C26"/>
    <mergeCell ref="D25:D26"/>
    <mergeCell ref="E25:E26"/>
    <mergeCell ref="F25:F26"/>
    <mergeCell ref="B27:B28"/>
    <mergeCell ref="C27:C28"/>
    <mergeCell ref="D27:D28"/>
    <mergeCell ref="E27:E28"/>
    <mergeCell ref="F27:F28"/>
    <mergeCell ref="K27:L28"/>
    <mergeCell ref="M27:N28"/>
    <mergeCell ref="H25:H26"/>
    <mergeCell ref="I25:I26"/>
    <mergeCell ref="J25:J26"/>
    <mergeCell ref="K25:L26"/>
    <mergeCell ref="M25:N26"/>
    <mergeCell ref="G29:G30"/>
    <mergeCell ref="G27:G28"/>
    <mergeCell ref="H27:H28"/>
    <mergeCell ref="I27:I28"/>
    <mergeCell ref="J27:J28"/>
    <mergeCell ref="B29:B30"/>
    <mergeCell ref="C29:C30"/>
    <mergeCell ref="D29:D30"/>
    <mergeCell ref="E29:E30"/>
    <mergeCell ref="F29:F30"/>
    <mergeCell ref="H29:H30"/>
    <mergeCell ref="I29:I30"/>
    <mergeCell ref="J29:J30"/>
    <mergeCell ref="K29:L30"/>
    <mergeCell ref="M29:N30"/>
    <mergeCell ref="B33:J34"/>
    <mergeCell ref="K33:L34"/>
    <mergeCell ref="M33:N34"/>
    <mergeCell ref="G31:G32"/>
    <mergeCell ref="H31:H32"/>
    <mergeCell ref="I31:I32"/>
    <mergeCell ref="J31:J32"/>
    <mergeCell ref="K31:L32"/>
    <mergeCell ref="M31:N32"/>
    <mergeCell ref="B31:B32"/>
    <mergeCell ref="C31:C32"/>
    <mergeCell ref="D31:D32"/>
    <mergeCell ref="E31:E32"/>
    <mergeCell ref="F31:F32"/>
  </mergeCells>
  <phoneticPr fontId="1"/>
  <printOptions horizontalCentered="1"/>
  <pageMargins left="0" right="0.23622047244094491" top="0.74803149606299213" bottom="0.74803149606299213" header="0" footer="0"/>
  <pageSetup paperSize="9" scale="80" fitToHeight="0" pageOrder="overThenDown" orientation="portrait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21CD-00C3-41B0-B735-2DE6F243C3C2}">
  <sheetPr>
    <outlinePr summaryBelow="0" summaryRight="0"/>
    <pageSetUpPr fitToPage="1"/>
  </sheetPr>
  <dimension ref="A1:Q41"/>
  <sheetViews>
    <sheetView showGridLines="0" tabSelected="1" view="pageBreakPreview" zoomScale="80" zoomScaleNormal="80" zoomScaleSheetLayoutView="80" workbookViewId="0">
      <selection activeCell="C2" sqref="C2"/>
    </sheetView>
  </sheetViews>
  <sheetFormatPr defaultColWidth="0" defaultRowHeight="15.75" customHeight="1" x14ac:dyDescent="0.3"/>
  <cols>
    <col min="1" max="1" width="3.88671875" style="4" customWidth="1"/>
    <col min="2" max="4" width="7.5546875" style="4" customWidth="1"/>
    <col min="5" max="5" width="13.44140625" style="4" bestFit="1" customWidth="1"/>
    <col min="6" max="10" width="9.6640625" style="4" customWidth="1"/>
    <col min="11" max="14" width="7.5546875" style="4" customWidth="1"/>
    <col min="15" max="17" width="3.88671875" style="4" customWidth="1"/>
    <col min="18" max="16384" width="12.5546875" style="4" hidden="1"/>
  </cols>
  <sheetData>
    <row r="1" spans="2:15" ht="15.75" customHeight="1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2:15" ht="15.75" customHeight="1" x14ac:dyDescent="0.3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5"/>
    </row>
    <row r="3" spans="2:15" ht="15.75" customHeight="1" x14ac:dyDescent="0.3">
      <c r="B3" s="38"/>
      <c r="C3" s="38"/>
      <c r="D3" s="38"/>
      <c r="E3" s="38"/>
      <c r="F3" s="38"/>
      <c r="G3" s="38"/>
      <c r="H3" s="38"/>
      <c r="I3" s="38"/>
      <c r="J3" s="5"/>
      <c r="K3" s="38"/>
      <c r="L3" s="39"/>
      <c r="M3" s="38"/>
      <c r="N3" s="5"/>
    </row>
    <row r="4" spans="2:15" ht="15.75" customHeight="1" x14ac:dyDescent="0.3">
      <c r="B4" s="38"/>
      <c r="C4" s="38"/>
      <c r="D4" s="38"/>
      <c r="E4" s="38"/>
      <c r="F4" s="38"/>
      <c r="G4" s="38"/>
      <c r="H4" s="38"/>
      <c r="I4" s="38"/>
      <c r="J4" s="5"/>
      <c r="K4" s="80" t="s">
        <v>70</v>
      </c>
      <c r="L4" s="81"/>
      <c r="M4" s="81"/>
      <c r="N4" s="81"/>
    </row>
    <row r="5" spans="2:15" ht="15.75" customHeight="1" x14ac:dyDescent="0.3">
      <c r="B5" s="38"/>
      <c r="C5" s="38"/>
      <c r="D5" s="38"/>
      <c r="E5" s="38"/>
      <c r="F5" s="38"/>
      <c r="G5" s="38"/>
      <c r="H5" s="38"/>
      <c r="I5" s="38"/>
      <c r="J5" s="5"/>
      <c r="K5" s="38"/>
      <c r="L5" s="38"/>
      <c r="M5" s="38"/>
      <c r="N5" s="5"/>
    </row>
    <row r="6" spans="2:15" ht="15.75" customHeight="1" x14ac:dyDescent="0.3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5"/>
    </row>
    <row r="7" spans="2:15" ht="15.75" customHeight="1" x14ac:dyDescent="0.3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5"/>
    </row>
    <row r="8" spans="2:15" ht="15.75" customHeight="1" x14ac:dyDescent="0.3">
      <c r="B8" s="82" t="s">
        <v>69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</row>
    <row r="9" spans="2:15" ht="15.7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</row>
    <row r="10" spans="2:15" ht="15.75" customHeight="1" x14ac:dyDescent="0.3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5"/>
    </row>
    <row r="11" spans="2:15" ht="15.75" customHeight="1" x14ac:dyDescent="0.3">
      <c r="B11" s="83" t="s">
        <v>63</v>
      </c>
      <c r="C11" s="81"/>
      <c r="D11" s="81"/>
      <c r="E11" s="81"/>
      <c r="F11" s="81"/>
      <c r="G11" s="85" t="s">
        <v>30</v>
      </c>
      <c r="H11" s="38"/>
      <c r="I11" s="38"/>
      <c r="J11" s="38"/>
      <c r="K11" s="38"/>
      <c r="L11" s="38"/>
      <c r="M11" s="38"/>
      <c r="N11" s="5"/>
    </row>
    <row r="12" spans="2:15" ht="15.75" customHeight="1" x14ac:dyDescent="0.3">
      <c r="B12" s="84"/>
      <c r="C12" s="84"/>
      <c r="D12" s="84"/>
      <c r="E12" s="84"/>
      <c r="F12" s="84"/>
      <c r="G12" s="84"/>
      <c r="H12" s="38"/>
      <c r="I12" s="38"/>
      <c r="J12" s="38"/>
      <c r="K12" s="69"/>
      <c r="L12" s="5"/>
      <c r="M12" s="5"/>
      <c r="N12" s="5"/>
    </row>
    <row r="13" spans="2:15" ht="15.75" customHeight="1" x14ac:dyDescent="0.3">
      <c r="B13" s="38"/>
      <c r="C13" s="38"/>
      <c r="D13" s="86"/>
      <c r="E13" s="81"/>
      <c r="F13" s="38"/>
      <c r="G13" s="38"/>
      <c r="H13" s="38"/>
      <c r="I13" s="38"/>
      <c r="J13" s="5"/>
      <c r="K13" s="87" t="s">
        <v>48</v>
      </c>
      <c r="L13" s="87"/>
      <c r="M13" s="87"/>
      <c r="N13" s="87"/>
      <c r="O13" s="87"/>
    </row>
    <row r="14" spans="2:15" ht="15.75" customHeight="1" x14ac:dyDescent="0.3">
      <c r="B14" s="38"/>
      <c r="C14" s="38"/>
      <c r="D14" s="38"/>
      <c r="E14" s="38"/>
      <c r="F14" s="38"/>
      <c r="G14" s="38"/>
      <c r="H14" s="38"/>
      <c r="I14" s="38"/>
      <c r="J14" s="5"/>
      <c r="K14" s="87" t="s">
        <v>49</v>
      </c>
      <c r="L14" s="87"/>
      <c r="M14" s="87"/>
      <c r="N14" s="87"/>
      <c r="O14" s="87"/>
    </row>
    <row r="15" spans="2:15" ht="15.75" customHeight="1" x14ac:dyDescent="0.3">
      <c r="B15" s="86" t="s">
        <v>32</v>
      </c>
      <c r="C15" s="81"/>
      <c r="D15" s="81"/>
      <c r="E15" s="81"/>
      <c r="F15" s="81"/>
      <c r="G15" s="81"/>
      <c r="H15" s="38"/>
      <c r="I15" s="38"/>
      <c r="J15" s="5"/>
      <c r="K15" s="90" t="s">
        <v>64</v>
      </c>
      <c r="L15" s="90"/>
      <c r="M15" s="90"/>
      <c r="N15" s="90"/>
      <c r="O15" s="90"/>
    </row>
    <row r="16" spans="2:15" ht="15.75" customHeight="1" x14ac:dyDescent="0.3">
      <c r="B16" s="91" t="s">
        <v>41</v>
      </c>
      <c r="C16" s="92"/>
      <c r="D16" s="155">
        <f>K33</f>
        <v>35500</v>
      </c>
      <c r="E16" s="182"/>
      <c r="F16" s="182"/>
      <c r="G16" s="183"/>
      <c r="H16" s="38"/>
      <c r="I16" s="38"/>
      <c r="J16" s="5"/>
      <c r="K16" s="90"/>
      <c r="L16" s="90"/>
      <c r="M16" s="90"/>
      <c r="N16" s="90"/>
      <c r="O16" s="90"/>
    </row>
    <row r="17" spans="2:14" ht="15.75" customHeight="1" x14ac:dyDescent="0.3">
      <c r="B17" s="93"/>
      <c r="C17" s="94"/>
      <c r="D17" s="184"/>
      <c r="E17" s="185"/>
      <c r="F17" s="185"/>
      <c r="G17" s="186"/>
      <c r="H17" s="38"/>
      <c r="I17" s="38"/>
      <c r="J17" s="5"/>
    </row>
    <row r="18" spans="2:14" ht="15.75" customHeight="1" x14ac:dyDescent="0.3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5"/>
    </row>
    <row r="19" spans="2:14" ht="15.75" customHeight="1" x14ac:dyDescent="0.3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5"/>
    </row>
    <row r="20" spans="2:14" ht="15.75" customHeight="1" x14ac:dyDescent="0.3">
      <c r="B20" s="101" t="s">
        <v>33</v>
      </c>
      <c r="C20" s="104" t="s">
        <v>34</v>
      </c>
      <c r="D20" s="107" t="s">
        <v>35</v>
      </c>
      <c r="E20" s="110" t="s">
        <v>15</v>
      </c>
      <c r="F20" s="112" t="s">
        <v>38</v>
      </c>
      <c r="G20" s="88" t="s">
        <v>72</v>
      </c>
      <c r="H20" s="112" t="s">
        <v>39</v>
      </c>
      <c r="I20" s="88" t="s">
        <v>17</v>
      </c>
      <c r="J20" s="129" t="s">
        <v>18</v>
      </c>
      <c r="K20" s="131" t="s">
        <v>36</v>
      </c>
      <c r="L20" s="132"/>
      <c r="M20" s="107" t="s">
        <v>14</v>
      </c>
      <c r="N20" s="137"/>
    </row>
    <row r="21" spans="2:14" ht="15.75" customHeight="1" x14ac:dyDescent="0.3">
      <c r="B21" s="102"/>
      <c r="C21" s="105"/>
      <c r="D21" s="108"/>
      <c r="E21" s="111"/>
      <c r="F21" s="113"/>
      <c r="G21" s="89"/>
      <c r="H21" s="113"/>
      <c r="I21" s="89"/>
      <c r="J21" s="130"/>
      <c r="K21" s="133"/>
      <c r="L21" s="134"/>
      <c r="M21" s="108"/>
      <c r="N21" s="138"/>
    </row>
    <row r="22" spans="2:14" ht="15.75" customHeight="1" x14ac:dyDescent="0.3">
      <c r="B22" s="103"/>
      <c r="C22" s="106"/>
      <c r="D22" s="109"/>
      <c r="E22" s="49">
        <v>2000</v>
      </c>
      <c r="F22" s="50">
        <v>4000</v>
      </c>
      <c r="G22" s="50">
        <v>3000</v>
      </c>
      <c r="H22" s="50">
        <v>5000</v>
      </c>
      <c r="I22" s="50">
        <v>1500</v>
      </c>
      <c r="J22" s="61">
        <v>1000</v>
      </c>
      <c r="K22" s="135"/>
      <c r="L22" s="136"/>
      <c r="M22" s="109"/>
      <c r="N22" s="139"/>
    </row>
    <row r="23" spans="2:14" ht="40.799999999999997" customHeight="1" x14ac:dyDescent="0.3">
      <c r="B23" s="114">
        <v>10</v>
      </c>
      <c r="C23" s="115">
        <v>20</v>
      </c>
      <c r="D23" s="116" t="s">
        <v>57</v>
      </c>
      <c r="E23" s="117">
        <v>24000</v>
      </c>
      <c r="F23" s="119">
        <v>0</v>
      </c>
      <c r="G23" s="119">
        <v>3000</v>
      </c>
      <c r="H23" s="119">
        <v>5000</v>
      </c>
      <c r="I23" s="119">
        <v>3000</v>
      </c>
      <c r="J23" s="140">
        <v>1000</v>
      </c>
      <c r="K23" s="121">
        <f>SUM(E23:J24)</f>
        <v>36000</v>
      </c>
      <c r="L23" s="174"/>
      <c r="M23" s="177" t="s">
        <v>73</v>
      </c>
      <c r="N23" s="178"/>
    </row>
    <row r="24" spans="2:14" ht="40.799999999999997" customHeight="1" x14ac:dyDescent="0.3">
      <c r="B24" s="170"/>
      <c r="C24" s="165"/>
      <c r="D24" s="171"/>
      <c r="E24" s="181"/>
      <c r="F24" s="172"/>
      <c r="G24" s="172"/>
      <c r="H24" s="172"/>
      <c r="I24" s="172"/>
      <c r="J24" s="173"/>
      <c r="K24" s="175"/>
      <c r="L24" s="176"/>
      <c r="M24" s="179"/>
      <c r="N24" s="180"/>
    </row>
    <row r="25" spans="2:14" ht="32.4" customHeight="1" x14ac:dyDescent="0.3">
      <c r="B25" s="114"/>
      <c r="C25" s="115"/>
      <c r="D25" s="116"/>
      <c r="E25" s="114"/>
      <c r="F25" s="115"/>
      <c r="G25" s="115"/>
      <c r="H25" s="115"/>
      <c r="I25" s="115"/>
      <c r="J25" s="146"/>
      <c r="K25" s="148">
        <v>-500</v>
      </c>
      <c r="L25" s="167"/>
      <c r="M25" s="187" t="s">
        <v>71</v>
      </c>
      <c r="N25" s="137"/>
    </row>
    <row r="26" spans="2:14" ht="32.4" customHeight="1" x14ac:dyDescent="0.3">
      <c r="B26" s="170"/>
      <c r="C26" s="165"/>
      <c r="D26" s="171"/>
      <c r="E26" s="170"/>
      <c r="F26" s="165"/>
      <c r="G26" s="165"/>
      <c r="H26" s="165"/>
      <c r="I26" s="165"/>
      <c r="J26" s="166"/>
      <c r="K26" s="168"/>
      <c r="L26" s="169"/>
      <c r="M26" s="109"/>
      <c r="N26" s="139"/>
    </row>
    <row r="27" spans="2:14" ht="32.4" customHeight="1" x14ac:dyDescent="0.3">
      <c r="B27" s="114"/>
      <c r="C27" s="115"/>
      <c r="D27" s="116"/>
      <c r="E27" s="114"/>
      <c r="F27" s="115"/>
      <c r="G27" s="115"/>
      <c r="H27" s="115"/>
      <c r="I27" s="115"/>
      <c r="J27" s="146"/>
      <c r="K27" s="142"/>
      <c r="L27" s="143"/>
      <c r="M27" s="116"/>
      <c r="N27" s="137"/>
    </row>
    <row r="28" spans="2:14" ht="32.4" customHeight="1" x14ac:dyDescent="0.3">
      <c r="B28" s="103"/>
      <c r="C28" s="106"/>
      <c r="D28" s="109"/>
      <c r="E28" s="103"/>
      <c r="F28" s="106"/>
      <c r="G28" s="106"/>
      <c r="H28" s="106"/>
      <c r="I28" s="106"/>
      <c r="J28" s="147"/>
      <c r="K28" s="144"/>
      <c r="L28" s="145"/>
      <c r="M28" s="109"/>
      <c r="N28" s="139"/>
    </row>
    <row r="29" spans="2:14" ht="32.4" customHeight="1" x14ac:dyDescent="0.3">
      <c r="B29" s="114"/>
      <c r="C29" s="115"/>
      <c r="D29" s="116"/>
      <c r="E29" s="114"/>
      <c r="F29" s="115"/>
      <c r="G29" s="115"/>
      <c r="H29" s="115"/>
      <c r="I29" s="115"/>
      <c r="J29" s="146"/>
      <c r="K29" s="142"/>
      <c r="L29" s="143"/>
      <c r="M29" s="116"/>
      <c r="N29" s="137"/>
    </row>
    <row r="30" spans="2:14" ht="32.4" customHeight="1" x14ac:dyDescent="0.3">
      <c r="B30" s="103"/>
      <c r="C30" s="106"/>
      <c r="D30" s="109"/>
      <c r="E30" s="103"/>
      <c r="F30" s="106"/>
      <c r="G30" s="106"/>
      <c r="H30" s="106"/>
      <c r="I30" s="106"/>
      <c r="J30" s="147"/>
      <c r="K30" s="144"/>
      <c r="L30" s="145"/>
      <c r="M30" s="109"/>
      <c r="N30" s="139"/>
    </row>
    <row r="31" spans="2:14" ht="32.4" customHeight="1" x14ac:dyDescent="0.3">
      <c r="B31" s="114"/>
      <c r="C31" s="115"/>
      <c r="D31" s="116"/>
      <c r="E31" s="114"/>
      <c r="F31" s="115"/>
      <c r="G31" s="115"/>
      <c r="H31" s="115"/>
      <c r="I31" s="115"/>
      <c r="J31" s="146"/>
      <c r="K31" s="160"/>
      <c r="L31" s="143"/>
      <c r="M31" s="161"/>
      <c r="N31" s="162"/>
    </row>
    <row r="32" spans="2:14" ht="32.4" customHeight="1" x14ac:dyDescent="0.3">
      <c r="B32" s="103"/>
      <c r="C32" s="106"/>
      <c r="D32" s="109"/>
      <c r="E32" s="103"/>
      <c r="F32" s="106"/>
      <c r="G32" s="106"/>
      <c r="H32" s="106"/>
      <c r="I32" s="106"/>
      <c r="J32" s="147"/>
      <c r="K32" s="144"/>
      <c r="L32" s="145"/>
      <c r="M32" s="163"/>
      <c r="N32" s="164"/>
    </row>
    <row r="33" spans="1:17" ht="32.4" customHeight="1" x14ac:dyDescent="0.3">
      <c r="B33" s="153" t="s">
        <v>47</v>
      </c>
      <c r="C33" s="154"/>
      <c r="D33" s="154"/>
      <c r="E33" s="154"/>
      <c r="F33" s="154"/>
      <c r="G33" s="154"/>
      <c r="H33" s="154"/>
      <c r="I33" s="154"/>
      <c r="J33" s="132"/>
      <c r="K33" s="155">
        <f>SUM(K23:L32)</f>
        <v>35500</v>
      </c>
      <c r="L33" s="156"/>
      <c r="M33" s="159"/>
      <c r="N33" s="137"/>
    </row>
    <row r="34" spans="1:17" ht="32.4" customHeight="1" x14ac:dyDescent="0.3">
      <c r="B34" s="135"/>
      <c r="C34" s="84"/>
      <c r="D34" s="84"/>
      <c r="E34" s="84"/>
      <c r="F34" s="84"/>
      <c r="G34" s="84"/>
      <c r="H34" s="84"/>
      <c r="I34" s="84"/>
      <c r="J34" s="136"/>
      <c r="K34" s="157"/>
      <c r="L34" s="158"/>
      <c r="M34" s="109"/>
      <c r="N34" s="139"/>
    </row>
    <row r="36" spans="1:17" ht="15.75" customHeight="1" x14ac:dyDescent="0.3">
      <c r="K36" s="70"/>
      <c r="L36" s="38"/>
      <c r="M36" s="38"/>
      <c r="N36" s="5"/>
    </row>
    <row r="37" spans="1:17" ht="15.75" customHeight="1" x14ac:dyDescent="0.3">
      <c r="A37" s="41"/>
      <c r="G37" s="41"/>
      <c r="H37" s="41"/>
      <c r="I37" s="41"/>
      <c r="K37" s="71" t="s">
        <v>53</v>
      </c>
      <c r="L37" s="72" t="s">
        <v>54</v>
      </c>
      <c r="M37" s="72"/>
      <c r="N37" s="72"/>
      <c r="O37" s="73"/>
      <c r="P37" s="41"/>
      <c r="Q37" s="41"/>
    </row>
    <row r="38" spans="1:17" ht="15.75" customHeight="1" x14ac:dyDescent="0.3">
      <c r="A38" s="41"/>
      <c r="G38" s="41"/>
      <c r="H38" s="41"/>
      <c r="I38" s="41"/>
      <c r="K38" s="74"/>
      <c r="L38" s="75" t="s">
        <v>55</v>
      </c>
      <c r="M38" s="75"/>
      <c r="N38" s="75"/>
      <c r="O38" s="76"/>
      <c r="P38" s="41"/>
      <c r="Q38" s="41"/>
    </row>
    <row r="39" spans="1:17" ht="15.75" customHeight="1" x14ac:dyDescent="0.3">
      <c r="A39" s="41"/>
      <c r="G39" s="41"/>
      <c r="H39" s="41"/>
      <c r="I39" s="41"/>
      <c r="K39" s="77" t="s">
        <v>37</v>
      </c>
      <c r="L39" s="78" t="s">
        <v>56</v>
      </c>
      <c r="M39" s="78"/>
      <c r="N39" s="78"/>
      <c r="O39" s="79"/>
      <c r="P39" s="41"/>
      <c r="Q39" s="41"/>
    </row>
    <row r="41" spans="1:17" ht="15.75" customHeight="1" x14ac:dyDescent="0.3">
      <c r="H41" s="38"/>
      <c r="I41" s="38"/>
      <c r="J41" s="38"/>
      <c r="K41" s="38"/>
      <c r="L41" s="38"/>
      <c r="M41" s="38"/>
      <c r="N41" s="5"/>
    </row>
  </sheetData>
  <mergeCells count="81">
    <mergeCell ref="K29:L30"/>
    <mergeCell ref="M29:N30"/>
    <mergeCell ref="B33:J34"/>
    <mergeCell ref="K33:L34"/>
    <mergeCell ref="M33:N34"/>
    <mergeCell ref="G31:G32"/>
    <mergeCell ref="H31:H32"/>
    <mergeCell ref="I31:I32"/>
    <mergeCell ref="J31:J32"/>
    <mergeCell ref="K31:L32"/>
    <mergeCell ref="M31:N32"/>
    <mergeCell ref="B31:B32"/>
    <mergeCell ref="C31:C32"/>
    <mergeCell ref="D31:D32"/>
    <mergeCell ref="E31:E32"/>
    <mergeCell ref="F31:F32"/>
    <mergeCell ref="B29:B30"/>
    <mergeCell ref="C29:C30"/>
    <mergeCell ref="D29:D30"/>
    <mergeCell ref="E29:E30"/>
    <mergeCell ref="F29:F30"/>
    <mergeCell ref="G29:G30"/>
    <mergeCell ref="G27:G28"/>
    <mergeCell ref="H27:H28"/>
    <mergeCell ref="I27:I28"/>
    <mergeCell ref="J27:J28"/>
    <mergeCell ref="H29:H30"/>
    <mergeCell ref="I29:I30"/>
    <mergeCell ref="J29:J30"/>
    <mergeCell ref="K27:L28"/>
    <mergeCell ref="M27:N28"/>
    <mergeCell ref="H25:H26"/>
    <mergeCell ref="I25:I26"/>
    <mergeCell ref="J25:J26"/>
    <mergeCell ref="K25:L26"/>
    <mergeCell ref="M25:N26"/>
    <mergeCell ref="B27:B28"/>
    <mergeCell ref="C27:C28"/>
    <mergeCell ref="D27:D28"/>
    <mergeCell ref="E27:E28"/>
    <mergeCell ref="F27:F28"/>
    <mergeCell ref="B25:B26"/>
    <mergeCell ref="C25:C26"/>
    <mergeCell ref="D25:D26"/>
    <mergeCell ref="E25:E26"/>
    <mergeCell ref="F25:F26"/>
    <mergeCell ref="G25:G26"/>
    <mergeCell ref="G23:G24"/>
    <mergeCell ref="H23:H24"/>
    <mergeCell ref="I23:I24"/>
    <mergeCell ref="J23:J24"/>
    <mergeCell ref="K23:L24"/>
    <mergeCell ref="M23:N24"/>
    <mergeCell ref="H20:H21"/>
    <mergeCell ref="I20:I21"/>
    <mergeCell ref="J20:J21"/>
    <mergeCell ref="K20:L22"/>
    <mergeCell ref="M20:N22"/>
    <mergeCell ref="B23:B24"/>
    <mergeCell ref="C23:C24"/>
    <mergeCell ref="D23:D24"/>
    <mergeCell ref="E23:E24"/>
    <mergeCell ref="F23:F24"/>
    <mergeCell ref="G20:G21"/>
    <mergeCell ref="K14:O14"/>
    <mergeCell ref="B15:G15"/>
    <mergeCell ref="B16:C17"/>
    <mergeCell ref="D16:G17"/>
    <mergeCell ref="K16:O16"/>
    <mergeCell ref="K15:O15"/>
    <mergeCell ref="B20:B22"/>
    <mergeCell ref="C20:C22"/>
    <mergeCell ref="D20:D22"/>
    <mergeCell ref="E20:E21"/>
    <mergeCell ref="F20:F21"/>
    <mergeCell ref="K4:N4"/>
    <mergeCell ref="B8:N9"/>
    <mergeCell ref="B11:F12"/>
    <mergeCell ref="G11:G12"/>
    <mergeCell ref="D13:E13"/>
    <mergeCell ref="K13:O13"/>
  </mergeCells>
  <phoneticPr fontId="1"/>
  <printOptions horizontalCentered="1"/>
  <pageMargins left="0" right="0.23622047244094491" top="0.74803149606299213" bottom="0.74803149606299213" header="0" footer="0"/>
  <pageSetup paperSize="9" scale="80" fitToHeight="0" pageOrder="overThenDown" orientation="portrait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26"/>
  <sheetViews>
    <sheetView showGridLines="0" view="pageBreakPreview" zoomScaleNormal="90" zoomScaleSheetLayoutView="100" workbookViewId="0">
      <selection activeCell="J13" sqref="J13"/>
    </sheetView>
  </sheetViews>
  <sheetFormatPr defaultColWidth="12.5546875" defaultRowHeight="15.75" customHeight="1" x14ac:dyDescent="0.3"/>
  <cols>
    <col min="1" max="1" width="3.88671875" style="4" customWidth="1"/>
    <col min="2" max="2" width="8.6640625" style="4" customWidth="1"/>
    <col min="3" max="5" width="12.5546875" style="4" customWidth="1"/>
    <col min="6" max="6" width="10.109375" style="4" customWidth="1"/>
    <col min="7" max="12" width="11.44140625" style="4" customWidth="1"/>
    <col min="13" max="13" width="12.5546875" style="4"/>
    <col min="14" max="16" width="10.109375" style="4" customWidth="1"/>
    <col min="17" max="17" width="12.5546875" style="4"/>
    <col min="18" max="18" width="13.88671875" style="4" customWidth="1"/>
    <col min="19" max="19" width="3.88671875" style="4" customWidth="1"/>
    <col min="20" max="16384" width="12.5546875" style="4"/>
  </cols>
  <sheetData>
    <row r="1" spans="1:19" ht="30.6" x14ac:dyDescent="0.35">
      <c r="A1" s="1"/>
      <c r="B1" s="2" t="s">
        <v>0</v>
      </c>
      <c r="C1" s="3"/>
      <c r="D1" s="1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4" x14ac:dyDescent="0.3">
      <c r="A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8.600000000000001" x14ac:dyDescent="0.35">
      <c r="A3" s="6"/>
      <c r="B3" s="6" t="s">
        <v>1</v>
      </c>
      <c r="C3" s="6"/>
      <c r="D3" s="6"/>
      <c r="E3" s="6"/>
      <c r="F3" s="6"/>
      <c r="G3" s="6"/>
      <c r="I3" s="7" t="s">
        <v>2</v>
      </c>
      <c r="J3" s="8"/>
      <c r="K3" s="7"/>
      <c r="L3" s="7"/>
      <c r="M3" s="7"/>
      <c r="O3" s="7" t="s">
        <v>3</v>
      </c>
      <c r="P3" s="8" t="s">
        <v>4</v>
      </c>
      <c r="Q3" s="7"/>
      <c r="R3" s="7"/>
      <c r="S3" s="6"/>
    </row>
    <row r="4" spans="1:19" ht="18" x14ac:dyDescent="0.3">
      <c r="A4" s="5"/>
      <c r="B4" s="6" t="s">
        <v>5</v>
      </c>
      <c r="C4" s="6"/>
      <c r="D4" s="6"/>
      <c r="E4" s="6"/>
      <c r="F4" s="6"/>
      <c r="G4" s="6"/>
      <c r="I4" s="48" t="s">
        <v>44</v>
      </c>
      <c r="J4" s="47" t="s">
        <v>46</v>
      </c>
      <c r="K4" s="6"/>
      <c r="L4" s="6"/>
      <c r="M4" s="6"/>
      <c r="N4" s="5"/>
      <c r="O4" s="5"/>
      <c r="P4" s="5"/>
      <c r="Q4" s="5"/>
      <c r="R4" s="5"/>
      <c r="S4" s="5"/>
    </row>
    <row r="5" spans="1:19" ht="18" x14ac:dyDescent="0.3">
      <c r="A5" s="5"/>
      <c r="B5" s="6" t="s">
        <v>6</v>
      </c>
      <c r="C5" s="6"/>
      <c r="D5" s="6"/>
      <c r="E5" s="6"/>
      <c r="F5" s="6"/>
      <c r="G5" s="6"/>
      <c r="I5" s="6"/>
      <c r="J5" s="6"/>
      <c r="K5" s="6"/>
      <c r="L5" s="6"/>
      <c r="M5" s="6"/>
      <c r="N5" s="5"/>
      <c r="O5" s="5"/>
      <c r="P5" s="5"/>
      <c r="Q5" s="5"/>
      <c r="R5" s="5"/>
      <c r="S5" s="5"/>
    </row>
    <row r="6" spans="1:19" ht="18" x14ac:dyDescent="0.3">
      <c r="A6" s="5"/>
      <c r="B6" s="6" t="s">
        <v>45</v>
      </c>
      <c r="C6" s="6"/>
      <c r="D6" s="6"/>
      <c r="E6" s="6"/>
      <c r="F6" s="6"/>
      <c r="G6" s="6"/>
      <c r="N6" s="5"/>
      <c r="O6" s="5"/>
      <c r="P6" s="5"/>
      <c r="Q6" s="5"/>
      <c r="R6" s="5"/>
      <c r="S6" s="5"/>
    </row>
    <row r="7" spans="1:19" ht="14.4" x14ac:dyDescent="0.3">
      <c r="A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6.2" x14ac:dyDescent="0.3">
      <c r="A8" s="9"/>
      <c r="B8" s="193" t="s">
        <v>7</v>
      </c>
      <c r="C8" s="195" t="s">
        <v>8</v>
      </c>
      <c r="D8" s="205" t="s">
        <v>9</v>
      </c>
      <c r="E8" s="132"/>
      <c r="F8" s="196" t="s">
        <v>10</v>
      </c>
      <c r="G8" s="202" t="s">
        <v>11</v>
      </c>
      <c r="H8" s="203"/>
      <c r="I8" s="203"/>
      <c r="J8" s="203"/>
      <c r="K8" s="203"/>
      <c r="L8" s="204"/>
      <c r="M8" s="197" t="s">
        <v>12</v>
      </c>
      <c r="N8" s="193" t="s">
        <v>13</v>
      </c>
      <c r="O8" s="154"/>
      <c r="P8" s="137"/>
      <c r="Q8" s="190" t="s">
        <v>42</v>
      </c>
      <c r="R8" s="192" t="s">
        <v>14</v>
      </c>
      <c r="S8" s="9"/>
    </row>
    <row r="9" spans="1:19" ht="30" x14ac:dyDescent="0.3">
      <c r="A9" s="9"/>
      <c r="B9" s="194"/>
      <c r="C9" s="191"/>
      <c r="D9" s="81"/>
      <c r="E9" s="134"/>
      <c r="F9" s="108"/>
      <c r="G9" s="35" t="s">
        <v>15</v>
      </c>
      <c r="H9" s="36" t="s">
        <v>38</v>
      </c>
      <c r="I9" s="37" t="s">
        <v>16</v>
      </c>
      <c r="J9" s="36" t="s">
        <v>39</v>
      </c>
      <c r="K9" s="37" t="s">
        <v>17</v>
      </c>
      <c r="L9" s="37" t="s">
        <v>18</v>
      </c>
      <c r="M9" s="198"/>
      <c r="N9" s="199" t="s">
        <v>40</v>
      </c>
      <c r="O9" s="200"/>
      <c r="P9" s="201"/>
      <c r="Q9" s="191"/>
      <c r="R9" s="138"/>
      <c r="S9" s="9"/>
    </row>
    <row r="10" spans="1:19" ht="16.2" x14ac:dyDescent="0.3">
      <c r="A10" s="9"/>
      <c r="B10" s="194"/>
      <c r="C10" s="191"/>
      <c r="D10" s="81"/>
      <c r="E10" s="134"/>
      <c r="F10" s="108"/>
      <c r="G10" s="12">
        <v>1800</v>
      </c>
      <c r="H10" s="13">
        <v>3800</v>
      </c>
      <c r="I10" s="13">
        <v>3800</v>
      </c>
      <c r="J10" s="13">
        <v>5000</v>
      </c>
      <c r="K10" s="13">
        <v>500</v>
      </c>
      <c r="L10" s="13">
        <v>500</v>
      </c>
      <c r="M10" s="198"/>
      <c r="N10" s="10" t="s">
        <v>19</v>
      </c>
      <c r="O10" s="11" t="s">
        <v>20</v>
      </c>
      <c r="P10" s="14" t="s">
        <v>21</v>
      </c>
      <c r="Q10" s="191"/>
      <c r="R10" s="138"/>
      <c r="S10" s="9"/>
    </row>
    <row r="11" spans="1:19" ht="19.2" x14ac:dyDescent="0.3">
      <c r="A11" s="15"/>
      <c r="B11" s="16" t="s">
        <v>22</v>
      </c>
      <c r="C11" s="17" t="s">
        <v>23</v>
      </c>
      <c r="D11" s="188" t="s">
        <v>24</v>
      </c>
      <c r="E11" s="189"/>
      <c r="F11" s="18" t="s">
        <v>25</v>
      </c>
      <c r="G11" s="19" t="s">
        <v>26</v>
      </c>
      <c r="H11" s="20"/>
      <c r="I11" s="20"/>
      <c r="J11" s="20"/>
      <c r="K11" s="20" t="s">
        <v>26</v>
      </c>
      <c r="L11" s="20" t="s">
        <v>26</v>
      </c>
      <c r="M11" s="21">
        <v>4500</v>
      </c>
      <c r="N11" s="22" t="s">
        <v>27</v>
      </c>
      <c r="O11" s="23" t="s">
        <v>28</v>
      </c>
      <c r="P11" s="18" t="s">
        <v>29</v>
      </c>
      <c r="Q11" s="46" t="s">
        <v>43</v>
      </c>
      <c r="R11" s="45"/>
      <c r="S11" s="15"/>
    </row>
    <row r="12" spans="1:19" ht="37.5" customHeight="1" x14ac:dyDescent="0.3">
      <c r="A12" s="5"/>
      <c r="B12" s="24">
        <v>1</v>
      </c>
      <c r="C12" s="25"/>
      <c r="D12" s="188"/>
      <c r="E12" s="189"/>
      <c r="F12" s="26" t="s">
        <v>25</v>
      </c>
      <c r="G12" s="27"/>
      <c r="H12" s="28"/>
      <c r="I12" s="28"/>
      <c r="J12" s="28"/>
      <c r="K12" s="28"/>
      <c r="L12" s="28"/>
      <c r="M12" s="29"/>
      <c r="N12" s="30"/>
      <c r="O12" s="31"/>
      <c r="P12" s="44"/>
      <c r="Q12" s="45"/>
      <c r="R12" s="45"/>
      <c r="S12" s="5"/>
    </row>
    <row r="13" spans="1:19" ht="37.5" customHeight="1" x14ac:dyDescent="0.3">
      <c r="A13" s="5"/>
      <c r="B13" s="24">
        <v>2</v>
      </c>
      <c r="C13" s="33"/>
      <c r="D13" s="188"/>
      <c r="E13" s="189"/>
      <c r="F13" s="26" t="s">
        <v>25</v>
      </c>
      <c r="G13" s="30"/>
      <c r="H13" s="31"/>
      <c r="I13" s="31"/>
      <c r="J13" s="31"/>
      <c r="K13" s="31"/>
      <c r="L13" s="31"/>
      <c r="M13" s="32"/>
      <c r="N13" s="30"/>
      <c r="O13" s="31"/>
      <c r="P13" s="44"/>
      <c r="Q13" s="45"/>
      <c r="R13" s="45"/>
      <c r="S13" s="5"/>
    </row>
    <row r="14" spans="1:19" ht="37.5" customHeight="1" x14ac:dyDescent="0.3">
      <c r="A14" s="5"/>
      <c r="B14" s="24">
        <v>3</v>
      </c>
      <c r="C14" s="33"/>
      <c r="D14" s="188"/>
      <c r="E14" s="189"/>
      <c r="F14" s="26" t="s">
        <v>25</v>
      </c>
      <c r="G14" s="30"/>
      <c r="H14" s="31"/>
      <c r="I14" s="31"/>
      <c r="J14" s="31"/>
      <c r="K14" s="31"/>
      <c r="L14" s="31"/>
      <c r="M14" s="32"/>
      <c r="N14" s="30"/>
      <c r="O14" s="31"/>
      <c r="P14" s="32"/>
      <c r="Q14" s="42"/>
      <c r="R14" s="43"/>
      <c r="S14" s="5"/>
    </row>
    <row r="15" spans="1:19" ht="37.5" customHeight="1" x14ac:dyDescent="0.3">
      <c r="A15" s="5"/>
      <c r="B15" s="24">
        <v>4</v>
      </c>
      <c r="C15" s="33"/>
      <c r="D15" s="188"/>
      <c r="E15" s="189"/>
      <c r="F15" s="26" t="s">
        <v>25</v>
      </c>
      <c r="G15" s="30"/>
      <c r="H15" s="31"/>
      <c r="I15" s="31"/>
      <c r="J15" s="31"/>
      <c r="K15" s="31"/>
      <c r="L15" s="31"/>
      <c r="M15" s="32"/>
      <c r="N15" s="30"/>
      <c r="O15" s="31"/>
      <c r="P15" s="32"/>
      <c r="Q15" s="33"/>
      <c r="R15" s="34"/>
      <c r="S15" s="5"/>
    </row>
    <row r="16" spans="1:19" ht="37.5" customHeight="1" x14ac:dyDescent="0.3">
      <c r="A16" s="5"/>
      <c r="B16" s="24">
        <v>5</v>
      </c>
      <c r="C16" s="33"/>
      <c r="D16" s="188"/>
      <c r="E16" s="189"/>
      <c r="F16" s="26" t="s">
        <v>25</v>
      </c>
      <c r="G16" s="30"/>
      <c r="H16" s="31"/>
      <c r="I16" s="31"/>
      <c r="J16" s="31"/>
      <c r="K16" s="31"/>
      <c r="L16" s="31"/>
      <c r="M16" s="32"/>
      <c r="N16" s="30"/>
      <c r="O16" s="31"/>
      <c r="P16" s="32"/>
      <c r="Q16" s="33"/>
      <c r="R16" s="34"/>
      <c r="S16" s="5"/>
    </row>
    <row r="17" spans="1:19" ht="37.5" customHeight="1" x14ac:dyDescent="0.3">
      <c r="A17" s="5"/>
      <c r="B17" s="24">
        <v>6</v>
      </c>
      <c r="C17" s="33"/>
      <c r="D17" s="188"/>
      <c r="E17" s="189"/>
      <c r="F17" s="26" t="s">
        <v>25</v>
      </c>
      <c r="G17" s="30"/>
      <c r="H17" s="31"/>
      <c r="I17" s="31"/>
      <c r="J17" s="31"/>
      <c r="K17" s="31"/>
      <c r="L17" s="31"/>
      <c r="M17" s="32"/>
      <c r="N17" s="30"/>
      <c r="O17" s="31"/>
      <c r="P17" s="32"/>
      <c r="Q17" s="33"/>
      <c r="R17" s="34"/>
      <c r="S17" s="5"/>
    </row>
    <row r="18" spans="1:19" ht="37.5" customHeight="1" x14ac:dyDescent="0.3">
      <c r="A18" s="5"/>
      <c r="B18" s="24">
        <v>7</v>
      </c>
      <c r="C18" s="33"/>
      <c r="D18" s="188"/>
      <c r="E18" s="189"/>
      <c r="F18" s="26" t="s">
        <v>25</v>
      </c>
      <c r="G18" s="30"/>
      <c r="H18" s="31"/>
      <c r="I18" s="31"/>
      <c r="J18" s="31"/>
      <c r="K18" s="31"/>
      <c r="L18" s="31"/>
      <c r="M18" s="32"/>
      <c r="N18" s="30"/>
      <c r="O18" s="31"/>
      <c r="P18" s="32"/>
      <c r="Q18" s="33"/>
      <c r="R18" s="34"/>
      <c r="S18" s="5"/>
    </row>
    <row r="19" spans="1:19" ht="37.5" customHeight="1" x14ac:dyDescent="0.3">
      <c r="A19" s="5"/>
      <c r="B19" s="24">
        <v>8</v>
      </c>
      <c r="C19" s="33"/>
      <c r="D19" s="188"/>
      <c r="E19" s="189"/>
      <c r="F19" s="26" t="s">
        <v>25</v>
      </c>
      <c r="G19" s="30"/>
      <c r="H19" s="31"/>
      <c r="I19" s="31"/>
      <c r="J19" s="31"/>
      <c r="K19" s="31"/>
      <c r="L19" s="31"/>
      <c r="M19" s="32"/>
      <c r="N19" s="30"/>
      <c r="O19" s="31"/>
      <c r="P19" s="32"/>
      <c r="Q19" s="33"/>
      <c r="R19" s="34"/>
      <c r="S19" s="5"/>
    </row>
    <row r="20" spans="1:19" ht="37.5" customHeight="1" x14ac:dyDescent="0.3">
      <c r="A20" s="5"/>
      <c r="B20" s="24">
        <v>9</v>
      </c>
      <c r="C20" s="33"/>
      <c r="D20" s="188"/>
      <c r="E20" s="189"/>
      <c r="F20" s="26" t="s">
        <v>25</v>
      </c>
      <c r="G20" s="30"/>
      <c r="H20" s="31"/>
      <c r="I20" s="31"/>
      <c r="J20" s="31"/>
      <c r="K20" s="31"/>
      <c r="L20" s="31"/>
      <c r="M20" s="32"/>
      <c r="N20" s="30"/>
      <c r="O20" s="31"/>
      <c r="P20" s="32"/>
      <c r="Q20" s="33"/>
      <c r="R20" s="34"/>
      <c r="S20" s="5"/>
    </row>
    <row r="21" spans="1:19" ht="37.5" customHeight="1" x14ac:dyDescent="0.3">
      <c r="A21" s="5"/>
      <c r="B21" s="24">
        <v>10</v>
      </c>
      <c r="C21" s="33"/>
      <c r="D21" s="188"/>
      <c r="E21" s="189"/>
      <c r="F21" s="26" t="s">
        <v>25</v>
      </c>
      <c r="G21" s="30"/>
      <c r="H21" s="31"/>
      <c r="I21" s="31"/>
      <c r="J21" s="31"/>
      <c r="K21" s="31"/>
      <c r="L21" s="31"/>
      <c r="M21" s="32"/>
      <c r="N21" s="30"/>
      <c r="O21" s="31"/>
      <c r="P21" s="32"/>
      <c r="Q21" s="33"/>
      <c r="R21" s="34"/>
      <c r="S21" s="5"/>
    </row>
    <row r="22" spans="1:19" ht="37.5" customHeight="1" x14ac:dyDescent="0.3">
      <c r="A22" s="5"/>
      <c r="B22" s="24">
        <v>11</v>
      </c>
      <c r="C22" s="33"/>
      <c r="D22" s="188"/>
      <c r="E22" s="189"/>
      <c r="F22" s="26" t="s">
        <v>25</v>
      </c>
      <c r="G22" s="30"/>
      <c r="H22" s="31"/>
      <c r="I22" s="31"/>
      <c r="J22" s="31"/>
      <c r="K22" s="31"/>
      <c r="L22" s="31"/>
      <c r="M22" s="32"/>
      <c r="N22" s="30"/>
      <c r="O22" s="31"/>
      <c r="P22" s="32"/>
      <c r="Q22" s="33"/>
      <c r="R22" s="34"/>
      <c r="S22" s="5"/>
    </row>
    <row r="23" spans="1:19" ht="37.5" customHeight="1" x14ac:dyDescent="0.3">
      <c r="A23" s="5"/>
      <c r="B23" s="24">
        <v>12</v>
      </c>
      <c r="C23" s="33"/>
      <c r="D23" s="188"/>
      <c r="E23" s="189"/>
      <c r="F23" s="26" t="s">
        <v>25</v>
      </c>
      <c r="G23" s="30"/>
      <c r="H23" s="31"/>
      <c r="I23" s="31"/>
      <c r="J23" s="31"/>
      <c r="K23" s="31"/>
      <c r="L23" s="31"/>
      <c r="M23" s="32"/>
      <c r="N23" s="30"/>
      <c r="O23" s="31"/>
      <c r="P23" s="32"/>
      <c r="Q23" s="33"/>
      <c r="R23" s="34"/>
      <c r="S23" s="5"/>
    </row>
    <row r="24" spans="1:19" ht="37.5" customHeight="1" x14ac:dyDescent="0.3">
      <c r="A24" s="5"/>
      <c r="B24" s="24">
        <v>13</v>
      </c>
      <c r="C24" s="33"/>
      <c r="D24" s="188"/>
      <c r="E24" s="189"/>
      <c r="F24" s="26" t="s">
        <v>25</v>
      </c>
      <c r="G24" s="30"/>
      <c r="H24" s="31"/>
      <c r="I24" s="31"/>
      <c r="J24" s="31"/>
      <c r="K24" s="31"/>
      <c r="L24" s="31"/>
      <c r="M24" s="32"/>
      <c r="N24" s="30"/>
      <c r="O24" s="31"/>
      <c r="P24" s="32"/>
      <c r="Q24" s="33"/>
      <c r="R24" s="34"/>
      <c r="S24" s="5"/>
    </row>
    <row r="25" spans="1:19" ht="37.5" customHeight="1" x14ac:dyDescent="0.3">
      <c r="A25" s="5"/>
      <c r="B25" s="24">
        <v>14</v>
      </c>
      <c r="C25" s="33"/>
      <c r="D25" s="188"/>
      <c r="E25" s="189"/>
      <c r="F25" s="26" t="s">
        <v>25</v>
      </c>
      <c r="G25" s="30"/>
      <c r="H25" s="31"/>
      <c r="I25" s="31"/>
      <c r="J25" s="31"/>
      <c r="K25" s="31"/>
      <c r="L25" s="31"/>
      <c r="M25" s="32"/>
      <c r="N25" s="30"/>
      <c r="O25" s="31"/>
      <c r="P25" s="32"/>
      <c r="Q25" s="33"/>
      <c r="R25" s="34"/>
      <c r="S25" s="5"/>
    </row>
    <row r="26" spans="1:19" ht="37.5" customHeight="1" x14ac:dyDescent="0.3">
      <c r="A26" s="5"/>
      <c r="B26" s="24">
        <v>15</v>
      </c>
      <c r="C26" s="33"/>
      <c r="D26" s="188"/>
      <c r="E26" s="189"/>
      <c r="F26" s="26" t="s">
        <v>25</v>
      </c>
      <c r="G26" s="30"/>
      <c r="H26" s="31"/>
      <c r="I26" s="31"/>
      <c r="J26" s="31"/>
      <c r="K26" s="31"/>
      <c r="L26" s="31"/>
      <c r="M26" s="32"/>
      <c r="N26" s="30"/>
      <c r="O26" s="31"/>
      <c r="P26" s="32"/>
      <c r="Q26" s="33"/>
      <c r="R26" s="34"/>
      <c r="S26" s="5"/>
    </row>
  </sheetData>
  <mergeCells count="26">
    <mergeCell ref="Q8:Q10"/>
    <mergeCell ref="R8:R10"/>
    <mergeCell ref="B8:B10"/>
    <mergeCell ref="C8:C10"/>
    <mergeCell ref="F8:F10"/>
    <mergeCell ref="M8:M10"/>
    <mergeCell ref="N8:P8"/>
    <mergeCell ref="N9:P9"/>
    <mergeCell ref="G8:L8"/>
    <mergeCell ref="D8:E10"/>
    <mergeCell ref="D11:E11"/>
    <mergeCell ref="D12:E12"/>
    <mergeCell ref="D13:E13"/>
    <mergeCell ref="D14:E14"/>
    <mergeCell ref="D15:E15"/>
    <mergeCell ref="D16:E16"/>
    <mergeCell ref="D24:E24"/>
    <mergeCell ref="D25:E25"/>
    <mergeCell ref="D26:E26"/>
    <mergeCell ref="D17:E17"/>
    <mergeCell ref="D18:E18"/>
    <mergeCell ref="D19:E19"/>
    <mergeCell ref="D20:E20"/>
    <mergeCell ref="D21:E21"/>
    <mergeCell ref="D22:E22"/>
    <mergeCell ref="D23:E23"/>
  </mergeCells>
  <phoneticPr fontId="1"/>
  <hyperlinks>
    <hyperlink ref="J4" r:id="rId1" xr:uid="{0FEEDB03-AA55-4239-9894-DA47DDC40AC2}"/>
  </hyperlinks>
  <printOptions horizontalCentered="1"/>
  <pageMargins left="0" right="0.23622047244094491" top="0.31496062992125984" bottom="0.19685039370078741" header="0" footer="0"/>
  <pageSetup paperSize="9" scale="73" fitToHeight="0" pageOrder="overThenDown" orientation="landscape" cellComments="atEnd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Q41"/>
  <sheetViews>
    <sheetView showGridLines="0" view="pageBreakPreview" zoomScale="80" zoomScaleNormal="80" zoomScaleSheetLayoutView="80" workbookViewId="0">
      <selection activeCell="I29" sqref="I29:I30"/>
    </sheetView>
  </sheetViews>
  <sheetFormatPr defaultColWidth="0" defaultRowHeight="15.75" customHeight="1" x14ac:dyDescent="0.3"/>
  <cols>
    <col min="1" max="1" width="3.88671875" style="4" customWidth="1"/>
    <col min="2" max="4" width="7.5546875" style="4" customWidth="1"/>
    <col min="5" max="5" width="11.44140625" style="4" bestFit="1" customWidth="1"/>
    <col min="6" max="10" width="9.6640625" style="4" customWidth="1"/>
    <col min="11" max="14" width="7.5546875" style="4" customWidth="1"/>
    <col min="15" max="17" width="3.88671875" style="4" customWidth="1"/>
    <col min="18" max="16384" width="12.5546875" style="4" hidden="1"/>
  </cols>
  <sheetData>
    <row r="1" spans="2:15" ht="15.75" customHeight="1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2:15" ht="15.75" customHeight="1" x14ac:dyDescent="0.3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5"/>
    </row>
    <row r="3" spans="2:15" ht="15.75" customHeight="1" x14ac:dyDescent="0.3">
      <c r="B3" s="38"/>
      <c r="C3" s="38"/>
      <c r="D3" s="38"/>
      <c r="E3" s="38"/>
      <c r="F3" s="38"/>
      <c r="G3" s="38"/>
      <c r="H3" s="38"/>
      <c r="I3" s="38"/>
      <c r="J3" s="5"/>
      <c r="K3" s="38"/>
      <c r="L3" s="39"/>
      <c r="M3" s="38"/>
      <c r="N3" s="5"/>
    </row>
    <row r="4" spans="2:15" ht="15.75" customHeight="1" x14ac:dyDescent="0.3">
      <c r="B4" s="38"/>
      <c r="C4" s="38"/>
      <c r="D4" s="38"/>
      <c r="E4" s="38"/>
      <c r="F4" s="38"/>
      <c r="G4" s="38"/>
      <c r="H4" s="38"/>
      <c r="I4" s="38"/>
      <c r="J4" s="5"/>
      <c r="K4" s="80" t="s">
        <v>61</v>
      </c>
      <c r="L4" s="81"/>
      <c r="M4" s="81"/>
      <c r="N4" s="81"/>
    </row>
    <row r="5" spans="2:15" ht="15.75" customHeight="1" x14ac:dyDescent="0.3">
      <c r="B5" s="38"/>
      <c r="C5" s="38"/>
      <c r="D5" s="38"/>
      <c r="E5" s="38"/>
      <c r="F5" s="38"/>
      <c r="G5" s="38"/>
      <c r="H5" s="38"/>
      <c r="I5" s="38"/>
      <c r="J5" s="5"/>
      <c r="K5" s="38"/>
      <c r="L5" s="38"/>
      <c r="M5" s="38"/>
      <c r="N5" s="5"/>
    </row>
    <row r="6" spans="2:15" ht="15.75" customHeight="1" x14ac:dyDescent="0.3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5"/>
    </row>
    <row r="7" spans="2:15" ht="15.75" customHeight="1" x14ac:dyDescent="0.3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5"/>
    </row>
    <row r="8" spans="2:15" ht="15.75" customHeight="1" x14ac:dyDescent="0.3">
      <c r="B8" s="82" t="s">
        <v>60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</row>
    <row r="9" spans="2:15" ht="15.7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</row>
    <row r="10" spans="2:15" ht="15.75" customHeight="1" x14ac:dyDescent="0.3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5"/>
    </row>
    <row r="11" spans="2:15" ht="15.75" customHeight="1" x14ac:dyDescent="0.3">
      <c r="B11" s="83"/>
      <c r="C11" s="81"/>
      <c r="D11" s="81"/>
      <c r="E11" s="81"/>
      <c r="F11" s="81"/>
      <c r="G11" s="85" t="s">
        <v>30</v>
      </c>
      <c r="H11" s="38"/>
      <c r="I11" s="38"/>
      <c r="J11" s="38"/>
      <c r="K11" s="38"/>
      <c r="L11" s="38"/>
      <c r="M11" s="38"/>
      <c r="N11" s="5"/>
    </row>
    <row r="12" spans="2:15" ht="15.75" customHeight="1" x14ac:dyDescent="0.3">
      <c r="B12" s="84"/>
      <c r="C12" s="84"/>
      <c r="D12" s="84"/>
      <c r="E12" s="84"/>
      <c r="F12" s="84"/>
      <c r="G12" s="84"/>
      <c r="H12" s="38"/>
      <c r="I12" s="38"/>
      <c r="J12" s="38"/>
      <c r="K12" s="54" t="s">
        <v>31</v>
      </c>
      <c r="L12" s="40"/>
      <c r="M12" s="40"/>
      <c r="N12" s="40"/>
      <c r="O12" s="58"/>
    </row>
    <row r="13" spans="2:15" ht="15.75" customHeight="1" x14ac:dyDescent="0.3">
      <c r="B13" s="38"/>
      <c r="C13" s="38"/>
      <c r="D13" s="86"/>
      <c r="E13" s="81"/>
      <c r="F13" s="38"/>
      <c r="G13" s="38"/>
      <c r="H13" s="38"/>
      <c r="I13" s="38"/>
      <c r="J13" s="5"/>
      <c r="K13" s="214" t="s">
        <v>48</v>
      </c>
      <c r="L13" s="214"/>
      <c r="M13" s="214"/>
      <c r="N13" s="214"/>
      <c r="O13" s="214"/>
    </row>
    <row r="14" spans="2:15" ht="15.75" customHeight="1" x14ac:dyDescent="0.3">
      <c r="B14" s="38"/>
      <c r="C14" s="38"/>
      <c r="D14" s="38"/>
      <c r="E14" s="38"/>
      <c r="F14" s="38"/>
      <c r="G14" s="38"/>
      <c r="H14" s="38"/>
      <c r="I14" s="38"/>
      <c r="J14" s="5"/>
      <c r="K14" s="214" t="s">
        <v>49</v>
      </c>
      <c r="L14" s="214"/>
      <c r="M14" s="214"/>
      <c r="N14" s="214"/>
      <c r="O14" s="214"/>
    </row>
    <row r="15" spans="2:15" ht="15.75" customHeight="1" x14ac:dyDescent="0.3">
      <c r="B15" s="86" t="s">
        <v>32</v>
      </c>
      <c r="C15" s="81"/>
      <c r="D15" s="81"/>
      <c r="E15" s="81"/>
      <c r="F15" s="81"/>
      <c r="G15" s="81"/>
      <c r="H15" s="38"/>
      <c r="I15" s="38"/>
      <c r="J15" s="5"/>
      <c r="K15" s="215" t="s">
        <v>50</v>
      </c>
      <c r="L15" s="215"/>
      <c r="M15" s="215"/>
      <c r="N15" s="215"/>
      <c r="O15" s="215"/>
    </row>
    <row r="16" spans="2:15" ht="15.75" customHeight="1" x14ac:dyDescent="0.3">
      <c r="B16" s="91" t="s">
        <v>41</v>
      </c>
      <c r="C16" s="92"/>
      <c r="D16" s="208">
        <f>K33</f>
        <v>28000</v>
      </c>
      <c r="E16" s="209"/>
      <c r="F16" s="209"/>
      <c r="G16" s="210"/>
      <c r="H16" s="38"/>
      <c r="I16" s="38"/>
      <c r="J16" s="5"/>
      <c r="K16" s="215" t="s">
        <v>51</v>
      </c>
      <c r="L16" s="215"/>
      <c r="M16" s="215"/>
      <c r="N16" s="215"/>
      <c r="O16" s="215"/>
    </row>
    <row r="17" spans="2:15" ht="15.75" customHeight="1" x14ac:dyDescent="0.3">
      <c r="B17" s="93"/>
      <c r="C17" s="94"/>
      <c r="D17" s="211"/>
      <c r="E17" s="212"/>
      <c r="F17" s="212"/>
      <c r="G17" s="213"/>
      <c r="H17" s="38"/>
      <c r="I17" s="38"/>
      <c r="J17" s="5"/>
      <c r="K17" s="215" t="s">
        <v>52</v>
      </c>
      <c r="L17" s="215"/>
      <c r="M17" s="215"/>
      <c r="N17" s="215"/>
      <c r="O17" s="215"/>
    </row>
    <row r="18" spans="2:15" ht="15.75" customHeight="1" x14ac:dyDescent="0.3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5"/>
    </row>
    <row r="19" spans="2:15" ht="15.75" customHeight="1" x14ac:dyDescent="0.3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5"/>
    </row>
    <row r="20" spans="2:15" ht="15.75" customHeight="1" x14ac:dyDescent="0.3">
      <c r="B20" s="101" t="s">
        <v>33</v>
      </c>
      <c r="C20" s="104" t="s">
        <v>34</v>
      </c>
      <c r="D20" s="107" t="s">
        <v>35</v>
      </c>
      <c r="E20" s="110" t="s">
        <v>15</v>
      </c>
      <c r="F20" s="112" t="s">
        <v>38</v>
      </c>
      <c r="G20" s="88" t="s">
        <v>16</v>
      </c>
      <c r="H20" s="112" t="s">
        <v>39</v>
      </c>
      <c r="I20" s="88" t="s">
        <v>17</v>
      </c>
      <c r="J20" s="129" t="s">
        <v>18</v>
      </c>
      <c r="K20" s="131" t="s">
        <v>36</v>
      </c>
      <c r="L20" s="132"/>
      <c r="M20" s="107" t="s">
        <v>14</v>
      </c>
      <c r="N20" s="137"/>
    </row>
    <row r="21" spans="2:15" ht="15.75" customHeight="1" x14ac:dyDescent="0.3">
      <c r="B21" s="102"/>
      <c r="C21" s="105"/>
      <c r="D21" s="108"/>
      <c r="E21" s="111"/>
      <c r="F21" s="113"/>
      <c r="G21" s="89"/>
      <c r="H21" s="113"/>
      <c r="I21" s="89"/>
      <c r="J21" s="130"/>
      <c r="K21" s="133"/>
      <c r="L21" s="134"/>
      <c r="M21" s="108"/>
      <c r="N21" s="138"/>
    </row>
    <row r="22" spans="2:15" ht="15.75" customHeight="1" x14ac:dyDescent="0.3">
      <c r="B22" s="103"/>
      <c r="C22" s="106"/>
      <c r="D22" s="109"/>
      <c r="E22" s="49">
        <v>1800</v>
      </c>
      <c r="F22" s="50">
        <v>3800</v>
      </c>
      <c r="G22" s="50">
        <v>3800</v>
      </c>
      <c r="H22" s="50">
        <v>5000</v>
      </c>
      <c r="I22" s="50">
        <v>500</v>
      </c>
      <c r="J22" s="61">
        <v>500</v>
      </c>
      <c r="K22" s="135"/>
      <c r="L22" s="136"/>
      <c r="M22" s="109"/>
      <c r="N22" s="139"/>
    </row>
    <row r="23" spans="2:15" ht="15.75" customHeight="1" x14ac:dyDescent="0.3">
      <c r="B23" s="114">
        <v>8</v>
      </c>
      <c r="C23" s="115">
        <v>25</v>
      </c>
      <c r="D23" s="116" t="s">
        <v>57</v>
      </c>
      <c r="E23" s="114" t="s">
        <v>58</v>
      </c>
      <c r="F23" s="115">
        <v>0</v>
      </c>
      <c r="G23" s="115">
        <v>0</v>
      </c>
      <c r="H23" s="115">
        <v>0</v>
      </c>
      <c r="I23" s="115" t="s">
        <v>59</v>
      </c>
      <c r="J23" s="146">
        <v>0</v>
      </c>
      <c r="K23" s="142">
        <v>28000</v>
      </c>
      <c r="L23" s="143"/>
      <c r="M23" s="116"/>
      <c r="N23" s="137"/>
    </row>
    <row r="24" spans="2:15" ht="15.75" customHeight="1" x14ac:dyDescent="0.3">
      <c r="B24" s="103"/>
      <c r="C24" s="106"/>
      <c r="D24" s="109"/>
      <c r="E24" s="103"/>
      <c r="F24" s="106"/>
      <c r="G24" s="106"/>
      <c r="H24" s="106"/>
      <c r="I24" s="106"/>
      <c r="J24" s="147"/>
      <c r="K24" s="144"/>
      <c r="L24" s="145"/>
      <c r="M24" s="109"/>
      <c r="N24" s="139"/>
    </row>
    <row r="25" spans="2:15" ht="15.75" customHeight="1" x14ac:dyDescent="0.3">
      <c r="B25" s="114"/>
      <c r="C25" s="115"/>
      <c r="D25" s="116"/>
      <c r="E25" s="114"/>
      <c r="F25" s="115"/>
      <c r="G25" s="115"/>
      <c r="H25" s="115"/>
      <c r="I25" s="115"/>
      <c r="J25" s="146"/>
      <c r="K25" s="142"/>
      <c r="L25" s="143"/>
      <c r="M25" s="116"/>
      <c r="N25" s="137"/>
    </row>
    <row r="26" spans="2:15" ht="15.75" customHeight="1" x14ac:dyDescent="0.3">
      <c r="B26" s="103"/>
      <c r="C26" s="106"/>
      <c r="D26" s="109"/>
      <c r="E26" s="103"/>
      <c r="F26" s="106"/>
      <c r="G26" s="106"/>
      <c r="H26" s="106"/>
      <c r="I26" s="106"/>
      <c r="J26" s="147"/>
      <c r="K26" s="144"/>
      <c r="L26" s="145"/>
      <c r="M26" s="109"/>
      <c r="N26" s="139"/>
    </row>
    <row r="27" spans="2:15" ht="15.75" customHeight="1" x14ac:dyDescent="0.3">
      <c r="B27" s="114"/>
      <c r="C27" s="115"/>
      <c r="D27" s="116"/>
      <c r="E27" s="114"/>
      <c r="F27" s="115"/>
      <c r="G27" s="115"/>
      <c r="H27" s="115"/>
      <c r="I27" s="115"/>
      <c r="J27" s="146"/>
      <c r="K27" s="142"/>
      <c r="L27" s="143"/>
      <c r="M27" s="116"/>
      <c r="N27" s="137"/>
    </row>
    <row r="28" spans="2:15" ht="15.75" customHeight="1" x14ac:dyDescent="0.3">
      <c r="B28" s="103"/>
      <c r="C28" s="106"/>
      <c r="D28" s="109"/>
      <c r="E28" s="103"/>
      <c r="F28" s="106"/>
      <c r="G28" s="106"/>
      <c r="H28" s="106"/>
      <c r="I28" s="106"/>
      <c r="J28" s="147"/>
      <c r="K28" s="144"/>
      <c r="L28" s="145"/>
      <c r="M28" s="109"/>
      <c r="N28" s="139"/>
    </row>
    <row r="29" spans="2:15" ht="15.75" customHeight="1" x14ac:dyDescent="0.3">
      <c r="B29" s="114"/>
      <c r="C29" s="115"/>
      <c r="D29" s="116"/>
      <c r="E29" s="114"/>
      <c r="F29" s="115"/>
      <c r="G29" s="115"/>
      <c r="H29" s="115"/>
      <c r="I29" s="115"/>
      <c r="J29" s="146"/>
      <c r="K29" s="142"/>
      <c r="L29" s="143"/>
      <c r="M29" s="116"/>
      <c r="N29" s="137"/>
    </row>
    <row r="30" spans="2:15" ht="15.75" customHeight="1" x14ac:dyDescent="0.3">
      <c r="B30" s="103"/>
      <c r="C30" s="106"/>
      <c r="D30" s="109"/>
      <c r="E30" s="103"/>
      <c r="F30" s="106"/>
      <c r="G30" s="106"/>
      <c r="H30" s="106"/>
      <c r="I30" s="106"/>
      <c r="J30" s="147"/>
      <c r="K30" s="144"/>
      <c r="L30" s="145"/>
      <c r="M30" s="109"/>
      <c r="N30" s="139"/>
    </row>
    <row r="31" spans="2:15" ht="15.75" customHeight="1" x14ac:dyDescent="0.3">
      <c r="B31" s="114"/>
      <c r="C31" s="115"/>
      <c r="D31" s="116"/>
      <c r="E31" s="114"/>
      <c r="F31" s="115"/>
      <c r="G31" s="115"/>
      <c r="H31" s="115"/>
      <c r="I31" s="115"/>
      <c r="J31" s="146"/>
      <c r="K31" s="142"/>
      <c r="L31" s="143"/>
      <c r="M31" s="116"/>
      <c r="N31" s="137"/>
    </row>
    <row r="32" spans="2:15" ht="15.75" customHeight="1" x14ac:dyDescent="0.3">
      <c r="B32" s="103"/>
      <c r="C32" s="106"/>
      <c r="D32" s="109"/>
      <c r="E32" s="103"/>
      <c r="F32" s="106"/>
      <c r="G32" s="106"/>
      <c r="H32" s="106"/>
      <c r="I32" s="106"/>
      <c r="J32" s="147"/>
      <c r="K32" s="144"/>
      <c r="L32" s="145"/>
      <c r="M32" s="109"/>
      <c r="N32" s="139"/>
    </row>
    <row r="33" spans="1:17" ht="15.75" customHeight="1" x14ac:dyDescent="0.3">
      <c r="B33" s="153" t="s">
        <v>47</v>
      </c>
      <c r="C33" s="154"/>
      <c r="D33" s="154"/>
      <c r="E33" s="154"/>
      <c r="F33" s="154"/>
      <c r="G33" s="154"/>
      <c r="H33" s="154"/>
      <c r="I33" s="154"/>
      <c r="J33" s="132"/>
      <c r="K33" s="206">
        <f>SUM(K23:L32)</f>
        <v>28000</v>
      </c>
      <c r="L33" s="143"/>
      <c r="M33" s="159"/>
      <c r="N33" s="137"/>
    </row>
    <row r="34" spans="1:17" ht="15.75" customHeight="1" x14ac:dyDescent="0.3">
      <c r="B34" s="135"/>
      <c r="C34" s="84"/>
      <c r="D34" s="84"/>
      <c r="E34" s="84"/>
      <c r="F34" s="84"/>
      <c r="G34" s="84"/>
      <c r="H34" s="84"/>
      <c r="I34" s="84"/>
      <c r="J34" s="136"/>
      <c r="K34" s="207"/>
      <c r="L34" s="145"/>
      <c r="M34" s="109"/>
      <c r="N34" s="139"/>
    </row>
    <row r="36" spans="1:17" ht="15.75" customHeight="1" x14ac:dyDescent="0.3">
      <c r="K36" s="55" t="s">
        <v>31</v>
      </c>
      <c r="L36" s="56"/>
      <c r="M36" s="56"/>
      <c r="N36" s="57"/>
      <c r="O36" s="58"/>
    </row>
    <row r="37" spans="1:17" ht="15.75" customHeight="1" x14ac:dyDescent="0.3">
      <c r="A37" s="41"/>
      <c r="G37" s="41"/>
      <c r="H37" s="41"/>
      <c r="I37" s="41"/>
      <c r="K37" s="59" t="s">
        <v>53</v>
      </c>
      <c r="L37" s="59" t="s">
        <v>54</v>
      </c>
      <c r="M37" s="59"/>
      <c r="N37" s="59"/>
      <c r="O37" s="60"/>
      <c r="P37" s="41"/>
      <c r="Q37" s="41"/>
    </row>
    <row r="38" spans="1:17" ht="15.75" customHeight="1" x14ac:dyDescent="0.3">
      <c r="A38" s="41"/>
      <c r="G38" s="41"/>
      <c r="H38" s="41"/>
      <c r="I38" s="41"/>
      <c r="K38" s="59"/>
      <c r="L38" s="59" t="s">
        <v>55</v>
      </c>
      <c r="M38" s="59"/>
      <c r="N38" s="59"/>
      <c r="O38" s="60"/>
      <c r="P38" s="41"/>
      <c r="Q38" s="41"/>
    </row>
    <row r="39" spans="1:17" ht="15.75" customHeight="1" x14ac:dyDescent="0.3">
      <c r="A39" s="41"/>
      <c r="G39" s="41"/>
      <c r="H39" s="41"/>
      <c r="I39" s="41"/>
      <c r="K39" s="59" t="s">
        <v>37</v>
      </c>
      <c r="L39" s="59" t="s">
        <v>56</v>
      </c>
      <c r="M39" s="59"/>
      <c r="N39" s="59"/>
      <c r="O39" s="60"/>
      <c r="P39" s="41"/>
      <c r="Q39" s="41"/>
    </row>
    <row r="41" spans="1:17" ht="15.75" customHeight="1" x14ac:dyDescent="0.3">
      <c r="H41" s="38"/>
      <c r="I41" s="38"/>
      <c r="J41" s="38"/>
      <c r="K41" s="38"/>
      <c r="L41" s="38"/>
      <c r="M41" s="38"/>
      <c r="N41" s="5"/>
    </row>
  </sheetData>
  <mergeCells count="82">
    <mergeCell ref="I25:I26"/>
    <mergeCell ref="H25:H26"/>
    <mergeCell ref="H20:H21"/>
    <mergeCell ref="J20:J21"/>
    <mergeCell ref="I20:I21"/>
    <mergeCell ref="K16:O16"/>
    <mergeCell ref="K17:O17"/>
    <mergeCell ref="J25:J26"/>
    <mergeCell ref="K25:L26"/>
    <mergeCell ref="M25:N26"/>
    <mergeCell ref="K20:L22"/>
    <mergeCell ref="M20:N22"/>
    <mergeCell ref="M27:N28"/>
    <mergeCell ref="B27:B28"/>
    <mergeCell ref="C27:C28"/>
    <mergeCell ref="D27:D28"/>
    <mergeCell ref="E27:E28"/>
    <mergeCell ref="F27:F28"/>
    <mergeCell ref="G27:G28"/>
    <mergeCell ref="I27:I28"/>
    <mergeCell ref="H27:H28"/>
    <mergeCell ref="B25:B26"/>
    <mergeCell ref="C25:C26"/>
    <mergeCell ref="D25:D26"/>
    <mergeCell ref="E25:E26"/>
    <mergeCell ref="G29:G30"/>
    <mergeCell ref="F25:F26"/>
    <mergeCell ref="G25:G26"/>
    <mergeCell ref="I29:I30"/>
    <mergeCell ref="H29:H30"/>
    <mergeCell ref="J27:J28"/>
    <mergeCell ref="K27:L28"/>
    <mergeCell ref="B29:B30"/>
    <mergeCell ref="C29:C30"/>
    <mergeCell ref="D29:D30"/>
    <mergeCell ref="E29:E30"/>
    <mergeCell ref="F29:F30"/>
    <mergeCell ref="K4:N4"/>
    <mergeCell ref="B8:N9"/>
    <mergeCell ref="J31:J32"/>
    <mergeCell ref="K31:L32"/>
    <mergeCell ref="M31:N32"/>
    <mergeCell ref="B31:B32"/>
    <mergeCell ref="C31:C32"/>
    <mergeCell ref="D31:D32"/>
    <mergeCell ref="E31:E32"/>
    <mergeCell ref="F31:F32"/>
    <mergeCell ref="G31:G32"/>
    <mergeCell ref="I31:I32"/>
    <mergeCell ref="H31:H32"/>
    <mergeCell ref="J29:J30"/>
    <mergeCell ref="B11:F12"/>
    <mergeCell ref="G11:G12"/>
    <mergeCell ref="D13:E13"/>
    <mergeCell ref="B15:G15"/>
    <mergeCell ref="K13:O13"/>
    <mergeCell ref="K14:O14"/>
    <mergeCell ref="K15:O15"/>
    <mergeCell ref="B16:C17"/>
    <mergeCell ref="D16:G17"/>
    <mergeCell ref="B20:B22"/>
    <mergeCell ref="C20:C22"/>
    <mergeCell ref="D20:D22"/>
    <mergeCell ref="F20:F21"/>
    <mergeCell ref="E20:E21"/>
    <mergeCell ref="G20:G21"/>
    <mergeCell ref="K33:L34"/>
    <mergeCell ref="M33:N34"/>
    <mergeCell ref="B33:J34"/>
    <mergeCell ref="J23:J24"/>
    <mergeCell ref="K23:L24"/>
    <mergeCell ref="M23:N24"/>
    <mergeCell ref="B23:B24"/>
    <mergeCell ref="C23:C24"/>
    <mergeCell ref="D23:D24"/>
    <mergeCell ref="E23:E24"/>
    <mergeCell ref="F23:F24"/>
    <mergeCell ref="G23:G24"/>
    <mergeCell ref="I23:I24"/>
    <mergeCell ref="H23:H24"/>
    <mergeCell ref="K29:L30"/>
    <mergeCell ref="M29:N30"/>
  </mergeCells>
  <phoneticPr fontId="1"/>
  <printOptions horizontalCentered="1"/>
  <pageMargins left="0" right="0.23622047244094491" top="0.74803149606299213" bottom="0.74803149606299213" header="0" footer="0"/>
  <pageSetup paperSize="9" scale="84" fitToHeight="0" pageOrder="overThenDown" orientation="portrait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DB61-9489-4048-94C3-7C59F374E05A}">
  <sheetPr>
    <outlinePr summaryBelow="0" summaryRight="0"/>
    <pageSetUpPr fitToPage="1"/>
  </sheetPr>
  <dimension ref="A1:Q41"/>
  <sheetViews>
    <sheetView showGridLines="0" view="pageBreakPreview" zoomScale="80" zoomScaleNormal="80" zoomScaleSheetLayoutView="80" workbookViewId="0">
      <selection activeCell="I27" sqref="I27:I28"/>
    </sheetView>
  </sheetViews>
  <sheetFormatPr defaultColWidth="0" defaultRowHeight="15.75" customHeight="1" x14ac:dyDescent="0.3"/>
  <cols>
    <col min="1" max="1" width="3.88671875" style="4" customWidth="1"/>
    <col min="2" max="4" width="7.5546875" style="4" customWidth="1"/>
    <col min="5" max="5" width="11.44140625" style="4" bestFit="1" customWidth="1"/>
    <col min="6" max="10" width="9.6640625" style="4" customWidth="1"/>
    <col min="11" max="14" width="7.5546875" style="4" customWidth="1"/>
    <col min="15" max="17" width="3.88671875" style="4" customWidth="1"/>
    <col min="18" max="16384" width="12.5546875" style="4" hidden="1"/>
  </cols>
  <sheetData>
    <row r="1" spans="2:15" ht="15.75" customHeight="1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2:15" ht="15.75" customHeight="1" x14ac:dyDescent="0.3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5"/>
    </row>
    <row r="3" spans="2:15" ht="15.75" customHeight="1" x14ac:dyDescent="0.3">
      <c r="B3" s="38"/>
      <c r="C3" s="38"/>
      <c r="D3" s="38"/>
      <c r="E3" s="38"/>
      <c r="F3" s="38"/>
      <c r="G3" s="38"/>
      <c r="H3" s="38"/>
      <c r="I3" s="38"/>
      <c r="J3" s="5"/>
      <c r="K3" s="38"/>
      <c r="L3" s="39"/>
      <c r="M3" s="38"/>
      <c r="N3" s="5"/>
    </row>
    <row r="4" spans="2:15" ht="15.75" customHeight="1" x14ac:dyDescent="0.3">
      <c r="B4" s="38"/>
      <c r="C4" s="38"/>
      <c r="D4" s="38"/>
      <c r="E4" s="38"/>
      <c r="F4" s="38"/>
      <c r="G4" s="38"/>
      <c r="H4" s="38"/>
      <c r="I4" s="38"/>
      <c r="J4" s="5"/>
      <c r="K4" s="80" t="s">
        <v>61</v>
      </c>
      <c r="L4" s="81"/>
      <c r="M4" s="81"/>
      <c r="N4" s="81"/>
    </row>
    <row r="5" spans="2:15" ht="15.75" customHeight="1" x14ac:dyDescent="0.3">
      <c r="B5" s="38"/>
      <c r="C5" s="38"/>
      <c r="D5" s="38"/>
      <c r="E5" s="38"/>
      <c r="F5" s="38"/>
      <c r="G5" s="38"/>
      <c r="H5" s="38"/>
      <c r="I5" s="38"/>
      <c r="J5" s="5"/>
      <c r="K5" s="38"/>
      <c r="L5" s="38"/>
      <c r="M5" s="38"/>
      <c r="N5" s="5"/>
    </row>
    <row r="6" spans="2:15" ht="15.75" customHeight="1" x14ac:dyDescent="0.3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5"/>
    </row>
    <row r="7" spans="2:15" ht="15.75" customHeight="1" x14ac:dyDescent="0.3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5"/>
    </row>
    <row r="8" spans="2:15" ht="15.75" customHeight="1" x14ac:dyDescent="0.3">
      <c r="B8" s="82" t="s">
        <v>60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</row>
    <row r="9" spans="2:15" ht="15.7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</row>
    <row r="10" spans="2:15" ht="15.75" customHeight="1" x14ac:dyDescent="0.3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5"/>
    </row>
    <row r="11" spans="2:15" ht="15.75" customHeight="1" x14ac:dyDescent="0.3">
      <c r="B11" s="83"/>
      <c r="C11" s="81"/>
      <c r="D11" s="81"/>
      <c r="E11" s="81"/>
      <c r="F11" s="81"/>
      <c r="G11" s="85" t="s">
        <v>30</v>
      </c>
      <c r="H11" s="38"/>
      <c r="I11" s="38"/>
      <c r="J11" s="38"/>
      <c r="K11" s="38"/>
      <c r="L11" s="38"/>
      <c r="M11" s="38"/>
      <c r="N11" s="5"/>
    </row>
    <row r="12" spans="2:15" ht="15.75" customHeight="1" x14ac:dyDescent="0.3">
      <c r="B12" s="84"/>
      <c r="C12" s="84"/>
      <c r="D12" s="84"/>
      <c r="E12" s="84"/>
      <c r="F12" s="84"/>
      <c r="G12" s="84"/>
      <c r="H12" s="38"/>
      <c r="I12" s="38"/>
      <c r="J12" s="38"/>
      <c r="K12" s="54" t="s">
        <v>31</v>
      </c>
      <c r="L12" s="40"/>
      <c r="M12" s="40"/>
      <c r="N12" s="40"/>
      <c r="O12" s="58"/>
    </row>
    <row r="13" spans="2:15" ht="15.75" customHeight="1" x14ac:dyDescent="0.3">
      <c r="B13" s="38"/>
      <c r="C13" s="38"/>
      <c r="D13" s="86"/>
      <c r="E13" s="81"/>
      <c r="F13" s="38"/>
      <c r="G13" s="38"/>
      <c r="H13" s="38"/>
      <c r="I13" s="38"/>
      <c r="J13" s="5"/>
      <c r="K13" s="214" t="s">
        <v>48</v>
      </c>
      <c r="L13" s="214"/>
      <c r="M13" s="214"/>
      <c r="N13" s="214"/>
      <c r="O13" s="214"/>
    </row>
    <row r="14" spans="2:15" ht="15.75" customHeight="1" x14ac:dyDescent="0.3">
      <c r="B14" s="38"/>
      <c r="C14" s="38"/>
      <c r="D14" s="38"/>
      <c r="E14" s="38"/>
      <c r="F14" s="38"/>
      <c r="G14" s="38"/>
      <c r="H14" s="38"/>
      <c r="I14" s="38"/>
      <c r="J14" s="5"/>
      <c r="K14" s="214" t="s">
        <v>49</v>
      </c>
      <c r="L14" s="214"/>
      <c r="M14" s="214"/>
      <c r="N14" s="214"/>
      <c r="O14" s="214"/>
    </row>
    <row r="15" spans="2:15" ht="15.75" customHeight="1" x14ac:dyDescent="0.3">
      <c r="B15" s="86" t="s">
        <v>32</v>
      </c>
      <c r="C15" s="81"/>
      <c r="D15" s="81"/>
      <c r="E15" s="81"/>
      <c r="F15" s="81"/>
      <c r="G15" s="81"/>
      <c r="H15" s="38"/>
      <c r="I15" s="38"/>
      <c r="J15" s="5"/>
      <c r="K15" s="215" t="s">
        <v>50</v>
      </c>
      <c r="L15" s="215"/>
      <c r="M15" s="215"/>
      <c r="N15" s="215"/>
      <c r="O15" s="215"/>
    </row>
    <row r="16" spans="2:15" ht="15.75" customHeight="1" x14ac:dyDescent="0.3">
      <c r="B16" s="91" t="s">
        <v>41</v>
      </c>
      <c r="C16" s="92"/>
      <c r="D16" s="95">
        <f>K33</f>
        <v>28000</v>
      </c>
      <c r="E16" s="96"/>
      <c r="F16" s="96"/>
      <c r="G16" s="97"/>
      <c r="H16" s="38"/>
      <c r="I16" s="38"/>
      <c r="J16" s="5"/>
      <c r="K16" s="215" t="s">
        <v>51</v>
      </c>
      <c r="L16" s="215"/>
      <c r="M16" s="215"/>
      <c r="N16" s="215"/>
      <c r="O16" s="215"/>
    </row>
    <row r="17" spans="2:15" ht="15.75" customHeight="1" x14ac:dyDescent="0.3">
      <c r="B17" s="93"/>
      <c r="C17" s="94"/>
      <c r="D17" s="98"/>
      <c r="E17" s="99"/>
      <c r="F17" s="99"/>
      <c r="G17" s="100"/>
      <c r="H17" s="38"/>
      <c r="I17" s="38"/>
      <c r="J17" s="5"/>
      <c r="K17" s="215" t="s">
        <v>52</v>
      </c>
      <c r="L17" s="215"/>
      <c r="M17" s="215"/>
      <c r="N17" s="215"/>
      <c r="O17" s="215"/>
    </row>
    <row r="18" spans="2:15" ht="15.75" customHeight="1" x14ac:dyDescent="0.3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5"/>
    </row>
    <row r="19" spans="2:15" ht="15.75" customHeight="1" x14ac:dyDescent="0.3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5"/>
    </row>
    <row r="20" spans="2:15" ht="15.75" customHeight="1" x14ac:dyDescent="0.3">
      <c r="B20" s="101" t="s">
        <v>33</v>
      </c>
      <c r="C20" s="104" t="s">
        <v>34</v>
      </c>
      <c r="D20" s="107" t="s">
        <v>35</v>
      </c>
      <c r="E20" s="110" t="s">
        <v>15</v>
      </c>
      <c r="F20" s="112" t="s">
        <v>38</v>
      </c>
      <c r="G20" s="88" t="s">
        <v>16</v>
      </c>
      <c r="H20" s="112" t="s">
        <v>39</v>
      </c>
      <c r="I20" s="88" t="s">
        <v>17</v>
      </c>
      <c r="J20" s="129" t="s">
        <v>18</v>
      </c>
      <c r="K20" s="131" t="s">
        <v>36</v>
      </c>
      <c r="L20" s="132"/>
      <c r="M20" s="107" t="s">
        <v>14</v>
      </c>
      <c r="N20" s="137"/>
    </row>
    <row r="21" spans="2:15" ht="15.75" customHeight="1" x14ac:dyDescent="0.3">
      <c r="B21" s="102"/>
      <c r="C21" s="105"/>
      <c r="D21" s="108"/>
      <c r="E21" s="111"/>
      <c r="F21" s="113"/>
      <c r="G21" s="89"/>
      <c r="H21" s="113"/>
      <c r="I21" s="89"/>
      <c r="J21" s="130"/>
      <c r="K21" s="133"/>
      <c r="L21" s="134"/>
      <c r="M21" s="108"/>
      <c r="N21" s="138"/>
    </row>
    <row r="22" spans="2:15" ht="15.75" customHeight="1" x14ac:dyDescent="0.3">
      <c r="B22" s="103"/>
      <c r="C22" s="106"/>
      <c r="D22" s="109"/>
      <c r="E22" s="49">
        <v>1800</v>
      </c>
      <c r="F22" s="50">
        <v>3800</v>
      </c>
      <c r="G22" s="50">
        <v>3800</v>
      </c>
      <c r="H22" s="50">
        <v>5000</v>
      </c>
      <c r="I22" s="50">
        <v>500</v>
      </c>
      <c r="J22" s="61">
        <v>500</v>
      </c>
      <c r="K22" s="135"/>
      <c r="L22" s="136"/>
      <c r="M22" s="109"/>
      <c r="N22" s="139"/>
    </row>
    <row r="23" spans="2:15" ht="15.75" customHeight="1" x14ac:dyDescent="0.3">
      <c r="B23" s="114">
        <v>8</v>
      </c>
      <c r="C23" s="115">
        <v>25</v>
      </c>
      <c r="D23" s="146" t="s">
        <v>57</v>
      </c>
      <c r="E23" s="52" t="s">
        <v>58</v>
      </c>
      <c r="F23" s="53">
        <v>0</v>
      </c>
      <c r="G23" s="53">
        <v>0</v>
      </c>
      <c r="H23" s="53">
        <v>0</v>
      </c>
      <c r="I23" s="53" t="s">
        <v>59</v>
      </c>
      <c r="J23" s="51">
        <v>0</v>
      </c>
      <c r="K23" s="216">
        <v>28000</v>
      </c>
      <c r="L23" s="217"/>
      <c r="M23" s="65"/>
      <c r="N23" s="62"/>
    </row>
    <row r="24" spans="2:15" ht="15.75" customHeight="1" x14ac:dyDescent="0.3">
      <c r="B24" s="220"/>
      <c r="C24" s="221"/>
      <c r="D24" s="222"/>
      <c r="E24" s="66">
        <v>27000</v>
      </c>
      <c r="F24" s="67">
        <v>0</v>
      </c>
      <c r="G24" s="67">
        <v>0</v>
      </c>
      <c r="H24" s="67">
        <v>0</v>
      </c>
      <c r="I24" s="67">
        <v>1000</v>
      </c>
      <c r="J24" s="68">
        <v>0</v>
      </c>
      <c r="K24" s="218"/>
      <c r="L24" s="219"/>
      <c r="M24" s="63"/>
      <c r="N24" s="64"/>
    </row>
    <row r="25" spans="2:15" ht="15.75" customHeight="1" x14ac:dyDescent="0.3">
      <c r="B25" s="114"/>
      <c r="C25" s="115"/>
      <c r="D25" s="116"/>
      <c r="E25" s="114"/>
      <c r="F25" s="115"/>
      <c r="G25" s="115"/>
      <c r="H25" s="115"/>
      <c r="I25" s="115"/>
      <c r="J25" s="146"/>
      <c r="K25" s="142"/>
      <c r="L25" s="143"/>
      <c r="M25" s="116"/>
      <c r="N25" s="137"/>
    </row>
    <row r="26" spans="2:15" ht="15.75" customHeight="1" x14ac:dyDescent="0.3">
      <c r="B26" s="103"/>
      <c r="C26" s="106"/>
      <c r="D26" s="109"/>
      <c r="E26" s="103"/>
      <c r="F26" s="106"/>
      <c r="G26" s="106"/>
      <c r="H26" s="106"/>
      <c r="I26" s="106"/>
      <c r="J26" s="147"/>
      <c r="K26" s="144"/>
      <c r="L26" s="145"/>
      <c r="M26" s="109"/>
      <c r="N26" s="139"/>
    </row>
    <row r="27" spans="2:15" ht="15.75" customHeight="1" x14ac:dyDescent="0.3">
      <c r="B27" s="114"/>
      <c r="C27" s="115"/>
      <c r="D27" s="116"/>
      <c r="E27" s="114"/>
      <c r="F27" s="115"/>
      <c r="G27" s="115"/>
      <c r="H27" s="115"/>
      <c r="I27" s="115"/>
      <c r="J27" s="146"/>
      <c r="K27" s="142"/>
      <c r="L27" s="143"/>
      <c r="M27" s="116"/>
      <c r="N27" s="137"/>
    </row>
    <row r="28" spans="2:15" ht="15.75" customHeight="1" x14ac:dyDescent="0.3">
      <c r="B28" s="103"/>
      <c r="C28" s="106"/>
      <c r="D28" s="109"/>
      <c r="E28" s="103"/>
      <c r="F28" s="106"/>
      <c r="G28" s="106"/>
      <c r="H28" s="106"/>
      <c r="I28" s="106"/>
      <c r="J28" s="147"/>
      <c r="K28" s="144"/>
      <c r="L28" s="145"/>
      <c r="M28" s="109"/>
      <c r="N28" s="139"/>
    </row>
    <row r="29" spans="2:15" ht="15.75" customHeight="1" x14ac:dyDescent="0.3">
      <c r="B29" s="114"/>
      <c r="C29" s="115"/>
      <c r="D29" s="116"/>
      <c r="E29" s="114"/>
      <c r="F29" s="115"/>
      <c r="G29" s="115"/>
      <c r="H29" s="115"/>
      <c r="I29" s="115"/>
      <c r="J29" s="146"/>
      <c r="K29" s="142"/>
      <c r="L29" s="143"/>
      <c r="M29" s="116"/>
      <c r="N29" s="137"/>
    </row>
    <row r="30" spans="2:15" ht="15.75" customHeight="1" x14ac:dyDescent="0.3">
      <c r="B30" s="103"/>
      <c r="C30" s="106"/>
      <c r="D30" s="109"/>
      <c r="E30" s="103"/>
      <c r="F30" s="106"/>
      <c r="G30" s="106"/>
      <c r="H30" s="106"/>
      <c r="I30" s="106"/>
      <c r="J30" s="147"/>
      <c r="K30" s="144"/>
      <c r="L30" s="145"/>
      <c r="M30" s="109"/>
      <c r="N30" s="139"/>
    </row>
    <row r="31" spans="2:15" ht="15.75" customHeight="1" x14ac:dyDescent="0.3">
      <c r="B31" s="114"/>
      <c r="C31" s="115"/>
      <c r="D31" s="116"/>
      <c r="E31" s="114"/>
      <c r="F31" s="115"/>
      <c r="G31" s="115"/>
      <c r="H31" s="115"/>
      <c r="I31" s="115"/>
      <c r="J31" s="146"/>
      <c r="K31" s="142"/>
      <c r="L31" s="143"/>
      <c r="M31" s="116"/>
      <c r="N31" s="137"/>
    </row>
    <row r="32" spans="2:15" ht="15.75" customHeight="1" x14ac:dyDescent="0.3">
      <c r="B32" s="103"/>
      <c r="C32" s="106"/>
      <c r="D32" s="109"/>
      <c r="E32" s="103"/>
      <c r="F32" s="106"/>
      <c r="G32" s="106"/>
      <c r="H32" s="106"/>
      <c r="I32" s="106"/>
      <c r="J32" s="147"/>
      <c r="K32" s="144"/>
      <c r="L32" s="145"/>
      <c r="M32" s="109"/>
      <c r="N32" s="139"/>
    </row>
    <row r="33" spans="1:17" ht="15.75" customHeight="1" x14ac:dyDescent="0.3">
      <c r="B33" s="153" t="s">
        <v>47</v>
      </c>
      <c r="C33" s="154"/>
      <c r="D33" s="154"/>
      <c r="E33" s="154"/>
      <c r="F33" s="154"/>
      <c r="G33" s="154"/>
      <c r="H33" s="154"/>
      <c r="I33" s="154"/>
      <c r="J33" s="132"/>
      <c r="K33" s="155">
        <f>SUM(K23:L32)</f>
        <v>28000</v>
      </c>
      <c r="L33" s="156"/>
      <c r="M33" s="159"/>
      <c r="N33" s="137"/>
    </row>
    <row r="34" spans="1:17" ht="15.75" customHeight="1" x14ac:dyDescent="0.3">
      <c r="B34" s="135"/>
      <c r="C34" s="84"/>
      <c r="D34" s="84"/>
      <c r="E34" s="84"/>
      <c r="F34" s="84"/>
      <c r="G34" s="84"/>
      <c r="H34" s="84"/>
      <c r="I34" s="84"/>
      <c r="J34" s="136"/>
      <c r="K34" s="157"/>
      <c r="L34" s="158"/>
      <c r="M34" s="109"/>
      <c r="N34" s="139"/>
    </row>
    <row r="36" spans="1:17" ht="15.75" customHeight="1" x14ac:dyDescent="0.3">
      <c r="K36" s="55" t="s">
        <v>31</v>
      </c>
      <c r="L36" s="56"/>
      <c r="M36" s="56"/>
      <c r="N36" s="57"/>
      <c r="O36" s="58"/>
    </row>
    <row r="37" spans="1:17" ht="15.75" customHeight="1" x14ac:dyDescent="0.3">
      <c r="A37" s="41"/>
      <c r="G37" s="41"/>
      <c r="H37" s="41"/>
      <c r="I37" s="41"/>
      <c r="K37" s="59" t="s">
        <v>53</v>
      </c>
      <c r="L37" s="59" t="s">
        <v>54</v>
      </c>
      <c r="M37" s="59"/>
      <c r="N37" s="59"/>
      <c r="O37" s="60"/>
      <c r="P37" s="41"/>
      <c r="Q37" s="41"/>
    </row>
    <row r="38" spans="1:17" ht="15.75" customHeight="1" x14ac:dyDescent="0.3">
      <c r="A38" s="41"/>
      <c r="G38" s="41"/>
      <c r="H38" s="41"/>
      <c r="I38" s="41"/>
      <c r="K38" s="59"/>
      <c r="L38" s="59" t="s">
        <v>55</v>
      </c>
      <c r="M38" s="59"/>
      <c r="N38" s="59"/>
      <c r="O38" s="60"/>
      <c r="P38" s="41"/>
      <c r="Q38" s="41"/>
    </row>
    <row r="39" spans="1:17" ht="15.75" customHeight="1" x14ac:dyDescent="0.3">
      <c r="A39" s="41"/>
      <c r="G39" s="41"/>
      <c r="H39" s="41"/>
      <c r="I39" s="41"/>
      <c r="K39" s="59" t="s">
        <v>37</v>
      </c>
      <c r="L39" s="59" t="s">
        <v>56</v>
      </c>
      <c r="M39" s="59"/>
      <c r="N39" s="59"/>
      <c r="O39" s="60"/>
      <c r="P39" s="41"/>
      <c r="Q39" s="41"/>
    </row>
    <row r="41" spans="1:17" ht="15.75" customHeight="1" x14ac:dyDescent="0.3">
      <c r="H41" s="38"/>
      <c r="I41" s="38"/>
      <c r="J41" s="38"/>
      <c r="K41" s="38"/>
      <c r="L41" s="38"/>
      <c r="M41" s="38"/>
      <c r="N41" s="5"/>
    </row>
  </sheetData>
  <mergeCells count="75">
    <mergeCell ref="K4:N4"/>
    <mergeCell ref="B8:N9"/>
    <mergeCell ref="B11:F12"/>
    <mergeCell ref="G11:G12"/>
    <mergeCell ref="D13:E13"/>
    <mergeCell ref="K13:O13"/>
    <mergeCell ref="K14:O14"/>
    <mergeCell ref="B15:G15"/>
    <mergeCell ref="K15:O15"/>
    <mergeCell ref="B16:C17"/>
    <mergeCell ref="D16:G17"/>
    <mergeCell ref="K16:O16"/>
    <mergeCell ref="K17:O17"/>
    <mergeCell ref="M20:N22"/>
    <mergeCell ref="B23:B24"/>
    <mergeCell ref="C23:C24"/>
    <mergeCell ref="D23:D24"/>
    <mergeCell ref="B20:B22"/>
    <mergeCell ref="C20:C22"/>
    <mergeCell ref="D20:D22"/>
    <mergeCell ref="E20:E21"/>
    <mergeCell ref="F20:F21"/>
    <mergeCell ref="G20:G21"/>
    <mergeCell ref="G25:G26"/>
    <mergeCell ref="K23:L24"/>
    <mergeCell ref="H20:H21"/>
    <mergeCell ref="I20:I21"/>
    <mergeCell ref="J20:J21"/>
    <mergeCell ref="K20:L22"/>
    <mergeCell ref="B25:B26"/>
    <mergeCell ref="C25:C26"/>
    <mergeCell ref="D25:D26"/>
    <mergeCell ref="E25:E26"/>
    <mergeCell ref="F25:F26"/>
    <mergeCell ref="B27:B28"/>
    <mergeCell ref="C27:C28"/>
    <mergeCell ref="D27:D28"/>
    <mergeCell ref="E27:E28"/>
    <mergeCell ref="F27:F28"/>
    <mergeCell ref="K27:L28"/>
    <mergeCell ref="M27:N28"/>
    <mergeCell ref="H25:H26"/>
    <mergeCell ref="I25:I26"/>
    <mergeCell ref="J25:J26"/>
    <mergeCell ref="K25:L26"/>
    <mergeCell ref="M25:N26"/>
    <mergeCell ref="G29:G30"/>
    <mergeCell ref="G27:G28"/>
    <mergeCell ref="H27:H28"/>
    <mergeCell ref="I27:I28"/>
    <mergeCell ref="J27:J28"/>
    <mergeCell ref="H29:H30"/>
    <mergeCell ref="I29:I30"/>
    <mergeCell ref="J29:J30"/>
    <mergeCell ref="B29:B30"/>
    <mergeCell ref="C29:C30"/>
    <mergeCell ref="D29:D30"/>
    <mergeCell ref="E29:E30"/>
    <mergeCell ref="F29:F30"/>
    <mergeCell ref="K29:L30"/>
    <mergeCell ref="M29:N30"/>
    <mergeCell ref="B33:J34"/>
    <mergeCell ref="K33:L34"/>
    <mergeCell ref="M33:N34"/>
    <mergeCell ref="G31:G32"/>
    <mergeCell ref="H31:H32"/>
    <mergeCell ref="I31:I32"/>
    <mergeCell ref="J31:J32"/>
    <mergeCell ref="K31:L32"/>
    <mergeCell ref="M31:N32"/>
    <mergeCell ref="B31:B32"/>
    <mergeCell ref="C31:C32"/>
    <mergeCell ref="D31:D32"/>
    <mergeCell ref="E31:E32"/>
    <mergeCell ref="F31:F32"/>
  </mergeCells>
  <phoneticPr fontId="1"/>
  <printOptions horizontalCentered="1"/>
  <pageMargins left="0" right="0.23622047244094491" top="0.74803149606299213" bottom="0.74803149606299213" header="0" footer="0"/>
  <pageSetup paperSize="9" scale="84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2025.8 </vt:lpstr>
      <vt:lpstr>2025.9 </vt:lpstr>
      <vt:lpstr>2025.10</vt:lpstr>
      <vt:lpstr>申込書</vt:lpstr>
      <vt:lpstr>請求書</vt:lpstr>
      <vt:lpstr>請求書 (3)</vt:lpstr>
      <vt:lpstr>'2025.10'!Print_Area</vt:lpstr>
      <vt:lpstr>'2025.8 '!Print_Area</vt:lpstr>
      <vt:lpstr>'2025.9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松原裕史</dc:creator>
  <cp:lastModifiedBy>阪南理美容 豊</cp:lastModifiedBy>
  <cp:lastPrinted>2025-11-10T01:40:57Z</cp:lastPrinted>
  <dcterms:created xsi:type="dcterms:W3CDTF">2025-08-14T06:50:20Z</dcterms:created>
  <dcterms:modified xsi:type="dcterms:W3CDTF">2025-11-10T01:42:36Z</dcterms:modified>
</cp:coreProperties>
</file>